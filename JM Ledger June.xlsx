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13_ncr:1_{E3040F23-2C0D-485B-B5C3-705BFFD654A4}" xr6:coauthVersionLast="47" xr6:coauthVersionMax="47" xr10:uidLastSave="{00000000-0000-0000-0000-000000000000}"/>
  <bookViews>
    <workbookView xWindow="-120" yWindow="-120" windowWidth="20730" windowHeight="11160" activeTab="6" xr2:uid="{74C84C4F-E85B-442A-9B64-7FF4608787B7}"/>
  </bookViews>
  <sheets>
    <sheet name="June 21" sheetId="4" r:id="rId1"/>
    <sheet name="July 21" sheetId="5" r:id="rId2"/>
    <sheet name="Aug 2021" sheetId="6" r:id="rId3"/>
    <sheet name="Sep 2021" sheetId="7" r:id="rId4"/>
    <sheet name="OCT 2021" sheetId="9" r:id="rId5"/>
    <sheet name="Nov 2021" sheetId="10" r:id="rId6"/>
    <sheet name="Dec 2021" sheetId="11" r:id="rId7"/>
  </sheets>
  <definedNames>
    <definedName name="_xlnm.Print_Area" localSheetId="0">'June 21'!$B$1:$G$260</definedName>
    <definedName name="_xlnm.Print_Titles" localSheetId="0">'June 21'!$1:$11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0" l="1"/>
  <c r="F3" i="10"/>
  <c r="F4" i="10" s="1"/>
  <c r="F5" i="10" s="1"/>
  <c r="F6" i="10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3" i="7"/>
  <c r="F4" i="7" s="1"/>
  <c r="F5" i="7" s="1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G18" i="4"/>
  <c r="G13" i="6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13" i="5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13" i="4"/>
  <c r="G14" i="4" s="1"/>
  <c r="G15" i="4" s="1"/>
  <c r="G16" i="4" s="1"/>
  <c r="G17" i="4" s="1"/>
  <c r="F6" i="4"/>
  <c r="F14" i="11" l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" i="10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20" i="9"/>
  <c r="F21" i="9" s="1"/>
  <c r="F22" i="9" s="1"/>
  <c r="F23" i="9" s="1"/>
  <c r="F24" i="9" s="1"/>
  <c r="F25" i="9" s="1"/>
  <c r="F26" i="9" s="1"/>
  <c r="F27" i="9" s="1"/>
  <c r="F28" i="9" s="1"/>
  <c r="F26" i="7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G19" i="4"/>
  <c r="G20" i="4" s="1"/>
  <c r="G21" i="4" s="1"/>
  <c r="G22" i="4" s="1"/>
  <c r="G26" i="5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F29" i="9" l="1"/>
  <c r="F30" i="9" s="1"/>
  <c r="F31" i="9" s="1"/>
  <c r="F32" i="9" s="1"/>
  <c r="F41" i="7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G23" i="4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F62" i="7" l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38" i="9"/>
  <c r="F39" i="9" s="1"/>
  <c r="F40" i="9" s="1"/>
  <c r="F41" i="9" s="1"/>
  <c r="F42" i="9" s="1"/>
  <c r="F43" i="9" s="1"/>
  <c r="F44" i="9" s="1"/>
  <c r="F45" i="9" s="1"/>
  <c r="F33" i="9"/>
  <c r="F34" i="9" s="1"/>
  <c r="F35" i="9" s="1"/>
  <c r="F36" i="9" s="1"/>
  <c r="F37" i="9" s="1"/>
  <c r="F46" i="9" l="1"/>
</calcChain>
</file>

<file path=xl/sharedStrings.xml><?xml version="1.0" encoding="utf-8"?>
<sst xmlns="http://schemas.openxmlformats.org/spreadsheetml/2006/main" count="439" uniqueCount="293">
  <si>
    <t>Date</t>
  </si>
  <si>
    <t>Discrpition</t>
  </si>
  <si>
    <t>Debit</t>
  </si>
  <si>
    <t>Credit</t>
  </si>
  <si>
    <t>Balance</t>
  </si>
  <si>
    <t>DC</t>
  </si>
  <si>
    <t>12435 x Serofer syp UC @ 6.4</t>
  </si>
  <si>
    <t>23300 x Adek-Z UC @ 6</t>
  </si>
  <si>
    <t>21000 x Adek-Z Sticker @ 1</t>
  </si>
  <si>
    <t>20300 x Adek-Z Leaf  @ 1.55</t>
  </si>
  <si>
    <t>14650 x Decid Syrup  UC  @ 6.4</t>
  </si>
  <si>
    <t>3700 x Irogen Tab UC @ 6.5</t>
  </si>
  <si>
    <t>10500 x Sharbat-E-Podina Syp Label @ 0.50</t>
  </si>
  <si>
    <t>10150 x Sharbat-E-Podina Syp UC @ 6</t>
  </si>
  <si>
    <t xml:space="preserve">11000 x Paracal-D UC @ 6.4 </t>
  </si>
  <si>
    <t>20000 x Paracal-D Label @ 0.50</t>
  </si>
  <si>
    <t>20000 x Paracal-D Label @ 0.80</t>
  </si>
  <si>
    <t>16-06-21</t>
  </si>
  <si>
    <t>15746 x Sefol Tab UC @ 4.75</t>
  </si>
  <si>
    <t>16000 x Sefol Tab Leaf @ 0.45</t>
  </si>
  <si>
    <t>15000 x Masquto Sticker F-B @ 2.5</t>
  </si>
  <si>
    <t>17-06-21</t>
  </si>
  <si>
    <t>17000 x Serofer Syp Label @ 0.50</t>
  </si>
  <si>
    <t>19-06-21</t>
  </si>
  <si>
    <t>21-06-21</t>
  </si>
  <si>
    <t>9950 x G-CID Syp UC @ 6.25</t>
  </si>
  <si>
    <t>20000 x G-CID Syp Label @ 0.50</t>
  </si>
  <si>
    <t>20550 x Decid Syp UC @ 6.4</t>
  </si>
  <si>
    <t>20000 x Decid Syp Label @ 0.45</t>
  </si>
  <si>
    <t>10900 x Enertize Syp UC @ 6.4</t>
  </si>
  <si>
    <t>18000 x Decid Syp Label @ 0.50</t>
  </si>
  <si>
    <t>7850 x Serofer Syp UC @ 6.4</t>
  </si>
  <si>
    <t>22-06-21</t>
  </si>
  <si>
    <t xml:space="preserve">5850 x Enertize Syp UC @ 6.4 </t>
  </si>
  <si>
    <t>24-06-21</t>
  </si>
  <si>
    <t>10000 x Cynarin TaB Leaf @ 0.45</t>
  </si>
  <si>
    <t>27-06-21</t>
  </si>
  <si>
    <t xml:space="preserve">2350 x ORS UC @ 15.50 </t>
  </si>
  <si>
    <t>28-06-21</t>
  </si>
  <si>
    <t xml:space="preserve">5650 x G-CID Syp UC @ 6.25 </t>
  </si>
  <si>
    <t>29-06-21</t>
  </si>
  <si>
    <t>10400 x VID-3 UC @ 3.30</t>
  </si>
  <si>
    <t>10000 x VID-3  Leaf @ 0.45</t>
  </si>
  <si>
    <t>5050 x Cynarin Tab UC @ 5</t>
  </si>
  <si>
    <t xml:space="preserve">5350 x Ivespa Syp UC @ 6.4 </t>
  </si>
  <si>
    <t>2750 x ORS UC  @ 15.50</t>
  </si>
  <si>
    <t>10000 x Ivespa Syp Label @ 3.1</t>
  </si>
  <si>
    <t>10150 x Enertize Syp UC @ 6.4</t>
  </si>
  <si>
    <t>20000 x Enertize Syp Label @ 0.50</t>
  </si>
  <si>
    <t>13050 x Serofer Syp UC @ 6.4</t>
  </si>
  <si>
    <t>20000 x Serofer Syp Label @ 0.50</t>
  </si>
  <si>
    <t>23/06/21</t>
  </si>
  <si>
    <t>30/06/21</t>
  </si>
  <si>
    <t>14/7/2021</t>
  </si>
  <si>
    <t>20400 x Serofer Tab UC @ 5.45</t>
  </si>
  <si>
    <t>14/07/2021</t>
  </si>
  <si>
    <t>5750 x  Paracl-D Tab Sample UC @ 2.75</t>
  </si>
  <si>
    <t>3150 x Emrat-Z Syp UC @ 6.5</t>
  </si>
  <si>
    <t>3300 x Emrat-Z Syp Label @ 0.6</t>
  </si>
  <si>
    <t>19900 x Paracal-D Syp UC @ 6.4</t>
  </si>
  <si>
    <t>20000 x Paracal-D Syp Leabal @ 0.5</t>
  </si>
  <si>
    <t>3100 x Glyfit Syp UC @ 10.5</t>
  </si>
  <si>
    <t>3300 x Glyfit Syp Lebal @ 0.5</t>
  </si>
  <si>
    <t>27/7/2021</t>
  </si>
  <si>
    <t>20300 x  Paracal-D Syp Leaf @ .80</t>
  </si>
  <si>
    <t>9950 x Enertize Syp UC @ 6.4</t>
  </si>
  <si>
    <t>9950 x Paracal-D Tab UC @ 7.55</t>
  </si>
  <si>
    <t>52000 x Paracal-D Tab Leaf @ .80</t>
  </si>
  <si>
    <t>5000 x Peptocid Syp UC @ 6.5</t>
  </si>
  <si>
    <t>5300 x Peptocid Syp Label @ .60</t>
  </si>
  <si>
    <t>30550 x Serofer Tab UC @ 5.45</t>
  </si>
  <si>
    <t>29/7/2021</t>
  </si>
  <si>
    <t>19350 x Paracal-D Tab UC @ 7.55</t>
  </si>
  <si>
    <t>30/7/2022</t>
  </si>
  <si>
    <t>30100 x Sefol Tab UC @ 4.70</t>
  </si>
  <si>
    <t>32000 x Sefol Tab leaf @ 0.45</t>
  </si>
  <si>
    <t>19675 x Paracal-D Tab UC @ 7.55</t>
  </si>
  <si>
    <t>15/8/2021</t>
  </si>
  <si>
    <t>10285 x G-Sid Syp UC @ 6.4</t>
  </si>
  <si>
    <t>10100 x G-Sid label @ 0.5</t>
  </si>
  <si>
    <t xml:space="preserve">8000 x Sefol  Leaf @ 0.8 </t>
  </si>
  <si>
    <t>3490 x ORS UC @ 15.5</t>
  </si>
  <si>
    <t>7050 x Fertisur Tab UC @ 7.35</t>
  </si>
  <si>
    <t>14250 x Fertisur Pouch UC @ 3</t>
  </si>
  <si>
    <t>8000 x Fertisur Tab UC @ 0.8</t>
  </si>
  <si>
    <t>17/8/2021</t>
  </si>
  <si>
    <t>21/8/2021</t>
  </si>
  <si>
    <t>2290 x ORS U/C @ 15.5</t>
  </si>
  <si>
    <t>19700 x Decid Syp U/C @ 6.4</t>
  </si>
  <si>
    <t>41000 x Decid syp Lebal  @ 0.5</t>
  </si>
  <si>
    <t>6200 x Lebal @ 0.5</t>
  </si>
  <si>
    <t>5600 GCID SYP U/C @ 6.5</t>
  </si>
  <si>
    <t>2300 x label @ 0.5</t>
  </si>
  <si>
    <t>29950 Adek-Z Drop UC @ 6</t>
  </si>
  <si>
    <t>32000 x Adek-Z Drop Leaflet @ 1</t>
  </si>
  <si>
    <t>32000 x Adek-Z Drop Leaflet @ 1.55</t>
  </si>
  <si>
    <t>23/8/2021</t>
  </si>
  <si>
    <t>25/8/2021</t>
  </si>
  <si>
    <t>11000 x Calik Syp Leaf @ 0.85</t>
  </si>
  <si>
    <t>5300 x Sitren Mount Wash Sticker @ 2.5</t>
  </si>
  <si>
    <t>26/8/2021</t>
  </si>
  <si>
    <t>30/8/21</t>
  </si>
  <si>
    <t>10000 x Sega Syp uc @ 6.4</t>
  </si>
  <si>
    <t>10000 x Sega lebal @ .5</t>
  </si>
  <si>
    <t>5150 x Serofer Syp Uc @ 6.4</t>
  </si>
  <si>
    <t xml:space="preserve"> 3400 X calik Syp UC @ 6.4</t>
  </si>
  <si>
    <t xml:space="preserve"> 5000 X calik Lebal @ .5</t>
  </si>
  <si>
    <t>23000 x Glorious- C500 Lebal @ .68</t>
  </si>
  <si>
    <t>2200 x Soft heal Cream Sticker @ 2</t>
  </si>
  <si>
    <t>JM Ledger Glorious Laboratories</t>
  </si>
  <si>
    <t>Ledger Glorious Laboratories</t>
  </si>
  <si>
    <t>6050 x TriLeaf Syp U/C @ 6.5</t>
  </si>
  <si>
    <t>1400 x Adekz Drop UC @ 6</t>
  </si>
  <si>
    <t>5750 x Serofer Tab UC @ 2.75</t>
  </si>
  <si>
    <t xml:space="preserve"> </t>
  </si>
  <si>
    <t>7000 x Hilty Syp UC @6.5</t>
  </si>
  <si>
    <t>8000x Hilty Syp label @0.5</t>
  </si>
  <si>
    <t>5000 x Soft Heel Careem  @ 2</t>
  </si>
  <si>
    <t>15000 x Trileaf Syp Uc @ 6.25</t>
  </si>
  <si>
    <t>16000 x Trileaf label @ 0.5</t>
  </si>
  <si>
    <t>10000 x Rose loater sticker @ 3.0</t>
  </si>
  <si>
    <t>20000 x Toot Siah Syp Label @ 0.45</t>
  </si>
  <si>
    <t>5000 x Aloveera Label; @ 0.65</t>
  </si>
  <si>
    <t>5000 x Grap seeds label  @ 0.65</t>
  </si>
  <si>
    <t>5000 x Safron Label @ 0.65</t>
  </si>
  <si>
    <t>5000 x Rose Water Spreay label  @ 0.65</t>
  </si>
  <si>
    <t>5000 x Glycreen label  @ 0.65</t>
  </si>
  <si>
    <t>8000 x Jelo Cid Syp U/C @ 7.25</t>
  </si>
  <si>
    <t>5000 x Soft Sticker @ 1.5</t>
  </si>
  <si>
    <t>5000 x Calik Stickar @1.55</t>
  </si>
  <si>
    <t>13/9/2021</t>
  </si>
  <si>
    <t>7550 x Rose Water UC @ 6.25</t>
  </si>
  <si>
    <t>6500 x Vitamin C label @0.68</t>
  </si>
  <si>
    <t>4400 x Sefol Tab U/C@2.85</t>
  </si>
  <si>
    <t>5600 x Tooth siah U/C @6.45</t>
  </si>
  <si>
    <t>14/9/2021</t>
  </si>
  <si>
    <t>2500 x NeroBex Leaf @ 2.5</t>
  </si>
  <si>
    <t>23/9/2021</t>
  </si>
  <si>
    <t>2400 x Mosquito U/C @ 15.5</t>
  </si>
  <si>
    <t>16/9/2021</t>
  </si>
  <si>
    <t>1500 x Mosquito U/C @ 15.5</t>
  </si>
  <si>
    <t>7050 x Jelocid Syp @ 7.25</t>
  </si>
  <si>
    <t>9050 x Trileaf Syp U/C @6.5</t>
  </si>
  <si>
    <t>10000 x Trileaf Syp label @0.5</t>
  </si>
  <si>
    <t>20000 x Serofer Syp label @ 0.5</t>
  </si>
  <si>
    <t>9750 x G-cid Syp U/C @ 6.25</t>
  </si>
  <si>
    <t>10000 x G-cid Syp Label @ 0.5</t>
  </si>
  <si>
    <t>6730 x TootSiah Syp U/C @ 6.45</t>
  </si>
  <si>
    <t xml:space="preserve">6200 x Sherbat Podina @ 6.5 </t>
  </si>
  <si>
    <t>10000 x Sherbat label @ 0.5</t>
  </si>
  <si>
    <t>2550 x RoseWater Spray U/C @ 6.25</t>
  </si>
  <si>
    <t>20/9/2021</t>
  </si>
  <si>
    <t>3900 x Sharbat Podina U/C @ 6.5</t>
  </si>
  <si>
    <t>5000 x Rose Water Spreay label  @ 6.25</t>
  </si>
  <si>
    <t>10150 x Hilty Syp U/C @ 6.5</t>
  </si>
  <si>
    <t>14200 x Serofer Syp U/c @6.4</t>
  </si>
  <si>
    <t>10000 x Hilty Syp Leaf @ 0.5</t>
  </si>
  <si>
    <t>5000 x Tooth Siah @ 6.45</t>
  </si>
  <si>
    <t>3050 x Nurobex Syp U/C @ 12.5</t>
  </si>
  <si>
    <t>7000 x Nurobex Syp label @ 0.5</t>
  </si>
  <si>
    <t>7000 x Nurobex Syp leaf @ 2.5</t>
  </si>
  <si>
    <t>14950 x Tooth Siah @6.45</t>
  </si>
  <si>
    <t>2850 x Bispar Tab U/c @ 5.45</t>
  </si>
  <si>
    <t>10100 x G-cid Syp U/C @ 6.25</t>
  </si>
  <si>
    <t>20000 x G-cid Syp Label @ 0.5</t>
  </si>
  <si>
    <t>28/9/2021</t>
  </si>
  <si>
    <t>10140 x Enertize Syp U/C @ 6.4</t>
  </si>
  <si>
    <t>5000 x Sherbat Folad U/C @ 9</t>
  </si>
  <si>
    <t>145 + 149</t>
  </si>
  <si>
    <t>146 + 149</t>
  </si>
  <si>
    <t>29/9/2021</t>
  </si>
  <si>
    <t>4900 x Sherbat Folad U/C @ 9</t>
  </si>
  <si>
    <t>10000 x Sherbat Folad U/C @ 0.5</t>
  </si>
  <si>
    <t>2600 x Soft and fair Sticker @ 1.5</t>
  </si>
  <si>
    <t>7450 x Rose Water UC @ 6.25</t>
  </si>
  <si>
    <t>12000 x Enertize tab</t>
  </si>
  <si>
    <t>6000 x ORS U/C @ 15.5</t>
  </si>
  <si>
    <t>16/09/21</t>
  </si>
  <si>
    <t>1500 x Nerobex Leaf @ 2.0</t>
  </si>
  <si>
    <t>13000 x Synarin Tab @5.00</t>
  </si>
  <si>
    <t>10100 x Decid Syp U/C @ 6.40</t>
  </si>
  <si>
    <t>20000 x Decid label U/C @0.5</t>
  </si>
  <si>
    <t>10080 x Avespa Syp @ 6.4</t>
  </si>
  <si>
    <t>10000 x Avespa Label @ 0.5</t>
  </si>
  <si>
    <t>3150 x Nerobex Tab U/C @ 12</t>
  </si>
  <si>
    <t>3350 x Synarin Drop U/C @ 8</t>
  </si>
  <si>
    <t>12000 x Synarin Drop Sticker @ 0.50</t>
  </si>
  <si>
    <t>6000 x Gcid label @ 0.5</t>
  </si>
  <si>
    <t>6000 x Toot Siah Label @ 0.5</t>
  </si>
  <si>
    <t>6000 x Soothy Syp Label @ 0.5</t>
  </si>
  <si>
    <t>10180 x Paracal-D Syp U/C @ 6.40</t>
  </si>
  <si>
    <t>10000 x Paracal-D Label @ 0.50</t>
  </si>
  <si>
    <t>2050 x Synarin Drop U/C @ 8</t>
  </si>
  <si>
    <t>6000 x M.FB Screen Printv @ 2.5</t>
  </si>
  <si>
    <t>20/10/2021</t>
  </si>
  <si>
    <t>10200 x Soothy Syp U/C @ 6.5</t>
  </si>
  <si>
    <t>20000 x Soothy Label @ 0.6</t>
  </si>
  <si>
    <t>21/10/2021</t>
  </si>
  <si>
    <t>39950 x Adek-z Drop U/C @ 6</t>
  </si>
  <si>
    <t>42000 x Adek-z Drop U/C @ 1</t>
  </si>
  <si>
    <t>25/10/2021</t>
  </si>
  <si>
    <t>5000 x Toot Siah Syp U/C @ 6.40</t>
  </si>
  <si>
    <t>20000 x Serofer Syp U/C @ 6.4</t>
  </si>
  <si>
    <t>5000 x G-cid Syp U/C @ 6.10</t>
  </si>
  <si>
    <t>20000 x G-cid Label @0.5</t>
  </si>
  <si>
    <t>20000 x Serofer Syp label  @ 0.5</t>
  </si>
  <si>
    <t>5000 x G-cid Syp U/C @ 6.40</t>
  </si>
  <si>
    <t>28/10/2021</t>
  </si>
  <si>
    <t>20000 x Rose Water Sticker @ 1.7</t>
  </si>
  <si>
    <t>10250 x Rose Water Spray U/C @ 7</t>
  </si>
  <si>
    <t>5000 x Sitran Mouth Wash sticker @ 2.5</t>
  </si>
  <si>
    <t>31/10/2021</t>
  </si>
  <si>
    <t>175 x D/of Saeed Akber SH @60</t>
  </si>
  <si>
    <t>175 x Weeding Card Envelop @10</t>
  </si>
  <si>
    <t>350 x Weeding Card Envelop @12</t>
  </si>
  <si>
    <t>5000 x Sadal Sticker F/B @ 3.0</t>
  </si>
  <si>
    <t>5001 x Soft &amp; Fair Sticker F/B @ 3.0</t>
  </si>
  <si>
    <t>2500 x Synarin Drop U/C @8</t>
  </si>
  <si>
    <t>7100 x Calik Tab U/C @ 8</t>
  </si>
  <si>
    <r>
      <t xml:space="preserve">34338 x NeuroBex tab </t>
    </r>
    <r>
      <rPr>
        <u/>
        <sz val="8"/>
        <color rgb="FF000000"/>
        <rFont val="Arial"/>
        <family val="2"/>
      </rPr>
      <t xml:space="preserve">U/C </t>
    </r>
    <r>
      <rPr>
        <sz val="8"/>
        <color rgb="FF000000"/>
        <rFont val="Arial"/>
        <family val="2"/>
      </rPr>
      <t>@ 10.25</t>
    </r>
  </si>
  <si>
    <t>15000 x Jelo Cid Syp Label @ 0.50</t>
  </si>
  <si>
    <t>2200 x caynavin U/c @ 2.85</t>
  </si>
  <si>
    <t>9750 x Hilty Syp @ 6.5</t>
  </si>
  <si>
    <t>Description</t>
  </si>
  <si>
    <t>7950 x TootSiah Syp UC @6.5</t>
  </si>
  <si>
    <t>9000 x TootSiah @ 6.5</t>
  </si>
  <si>
    <t>6050 x Enertize Syp @ 6.4</t>
  </si>
  <si>
    <t>42000 x Adekz Drop Leaf @ 1.55</t>
  </si>
  <si>
    <t>19200 x Jalocid @ 7.25</t>
  </si>
  <si>
    <t>22000 x Decid Syp label @ 0.50</t>
  </si>
  <si>
    <t>3900 x Enertize Syp  UC @ 6.4</t>
  </si>
  <si>
    <t>10030 x Hilty Syp UC @6.5</t>
  </si>
  <si>
    <t>10075 x Calik Syp UC @ 6.5</t>
  </si>
  <si>
    <t>10000 x Calik Syp Label @ 0.5</t>
  </si>
  <si>
    <t>7500 x Decid SYP UC @ 7</t>
  </si>
  <si>
    <t>20000 x Decid Syp Label @ 0.5</t>
  </si>
  <si>
    <t>5000 x Sitren Mouth Wash Sticker @ 2.50</t>
  </si>
  <si>
    <t>9900 x Toot Siah Syp UC @ 6.5</t>
  </si>
  <si>
    <t>3850 Adez Drop @8</t>
  </si>
  <si>
    <t>5000 x Adekz Drop Sticker @ 1</t>
  </si>
  <si>
    <t>3100 x Cynarin Drop @ 8</t>
  </si>
  <si>
    <t>4200 x Nerobex Leaf @ 2</t>
  </si>
  <si>
    <t>5050 x IVY Plus UC Syp @ 6.5</t>
  </si>
  <si>
    <t>1100 x Adekz Drop @ 8</t>
  </si>
  <si>
    <t>4950 x Rose Water @ 7</t>
  </si>
  <si>
    <t>9950 x Sega Syp UC @ 7</t>
  </si>
  <si>
    <t>20400 x Serofer Syp UC @5.45</t>
  </si>
  <si>
    <t>5500 x IVY Plus Lebal @0.65</t>
  </si>
  <si>
    <t>10600 x Paracal-D Tab @2.85</t>
  </si>
  <si>
    <t>10550 x Serofer Tab @ 2.85</t>
  </si>
  <si>
    <t>5050 x Rose Water Spray 100ml UC  @7</t>
  </si>
  <si>
    <t>5051 x Rose Water + Glycerin Spray  UC  @9.25</t>
  </si>
  <si>
    <t>5000 x Rose Water + Alovera UC @ 9.25</t>
  </si>
  <si>
    <t>5650 x Vid-3 Tab UC @ 8.25</t>
  </si>
  <si>
    <t>5300 x Calik Tab @ 8.45</t>
  </si>
  <si>
    <t>10400 x Synarin Leaf @0.5</t>
  </si>
  <si>
    <t>20000 x Enertize Syp label @0.5</t>
  </si>
  <si>
    <t>20000 x Serofer Syp label @0.5</t>
  </si>
  <si>
    <t>20000 x Hyldy Syp label @0.5</t>
  </si>
  <si>
    <t>20000 x TootSiah Syp label @0.5</t>
  </si>
  <si>
    <t>20000 x Telocid Syp label @0.5</t>
  </si>
  <si>
    <t>10100 x Decid Syp U/C @7</t>
  </si>
  <si>
    <t>10000 x Sega 9 Syp Lebal @ 0.50</t>
  </si>
  <si>
    <t>10150 X Eazton Tab @</t>
  </si>
  <si>
    <t>60000 x Glycerin Sticker @ 0.60</t>
  </si>
  <si>
    <t>30000 x Glycerin Sticker @ 1.10</t>
  </si>
  <si>
    <t>9700 x Ivespa Syp 120ml U/C @ 7.25</t>
  </si>
  <si>
    <t>20000 x Ivespa Syp Label @0.65</t>
  </si>
  <si>
    <t>19800 x Enertize syp 120 ml u/c @7.25</t>
  </si>
  <si>
    <t>20000 x Enertize syp 120 ml label @0.65</t>
  </si>
  <si>
    <t>30000 x Glycerin Sticker 100gm @ 1.10</t>
  </si>
  <si>
    <t>30000 x Glycerin Sticker 200 mg F/B @ 1.60</t>
  </si>
  <si>
    <t>5000 x Glycerin Sticker 300 mg F/B @ 2.35</t>
  </si>
  <si>
    <t>5100 x Sharbat-e-Podina syp U/C @ 6.5</t>
  </si>
  <si>
    <t>5000 x Sharbat-e-Podina syp label @ 0.65</t>
  </si>
  <si>
    <t>950 x Glycrin  30Gm @ 10</t>
  </si>
  <si>
    <t>5050 x Syp 120ml @ 7.25</t>
  </si>
  <si>
    <t xml:space="preserve">5000 x Label @0.65 </t>
  </si>
  <si>
    <t>20400 x serofer tab @ 6.45</t>
  </si>
  <si>
    <t>19900 x TootSiah Syp 120ml U/C @ 7.25</t>
  </si>
  <si>
    <t>20000 x TootSiah Syp 120ml  Label @ 0.65</t>
  </si>
  <si>
    <t>5420 x Glysreen Box 100gm U/C @ 11</t>
  </si>
  <si>
    <t>3000 x Hand wash Sticker F/B new  @ 3.5</t>
  </si>
  <si>
    <t>1000 x Glycerin 200 gm @ 1.6</t>
  </si>
  <si>
    <t>3000 x Hand wash Sticker 250 ml F/B @ 3</t>
  </si>
  <si>
    <t>9850 x Avespa Syp 120ml U/C @ 7.25</t>
  </si>
  <si>
    <t>19950 x Furtisuar Pouch @ 4.25</t>
  </si>
  <si>
    <t xml:space="preserve">9900 x Furtisuar tab U/c @ 10.5 </t>
  </si>
  <si>
    <t>10000 x Furtisuar Tab Leaf @ 0.90</t>
  </si>
  <si>
    <t>4900 x Glycrin 30gm U/C @ 10</t>
  </si>
  <si>
    <t>10000 x Telileaf Syp 120ml U/C @ 0.65</t>
  </si>
  <si>
    <t>9700 x Telileaf Syp 120ml Leaf @ 6.5</t>
  </si>
  <si>
    <t>5900 x Ferol-D capsules U/C @ 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</si>
</sst>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dd/mm/yyyy;@"/>
    <numFmt numFmtId="167" formatCode="[$-10846]dd\-mm\-yy;@"/>
    <numFmt numFmtId="168" formatCode="[$-809]d\ mmmm\ yyyy;@"/>
  </numFmts>
  <fonts count="14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8"/>
      <color rgb="FF000000"/>
      <name val="Arial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1" xfId="0" applyBorder="1"/>
    <xf numFmtId="49" fontId="1" fillId="0" borderId="1" xfId="0" applyNumberFormat="1" applyFont="1" applyBorder="1"/>
    <xf numFmtId="0" fontId="4" fillId="0" borderId="2" xfId="0" applyFont="1" applyBorder="1" applyAlignment="1">
      <alignment horizontal="center"/>
    </xf>
    <xf numFmtId="0" fontId="0" fillId="0" borderId="8" xfId="0" applyBorder="1"/>
    <xf numFmtId="0" fontId="0" fillId="0" borderId="0" xfId="0" applyBorder="1"/>
    <xf numFmtId="164" fontId="4" fillId="0" borderId="2" xfId="0" applyNumberFormat="1" applyFont="1" applyBorder="1" applyAlignment="1">
      <alignment horizontal="center"/>
    </xf>
    <xf numFmtId="164" fontId="0" fillId="0" borderId="0" xfId="0" applyNumberFormat="1"/>
    <xf numFmtId="165" fontId="0" fillId="0" borderId="13" xfId="0" applyNumberFormat="1" applyBorder="1"/>
    <xf numFmtId="165" fontId="0" fillId="0" borderId="0" xfId="0" applyNumberFormat="1" applyBorder="1"/>
    <xf numFmtId="165" fontId="4" fillId="0" borderId="2" xfId="0" applyNumberFormat="1" applyFont="1" applyBorder="1" applyAlignment="1">
      <alignment horizontal="center"/>
    </xf>
    <xf numFmtId="165" fontId="0" fillId="0" borderId="1" xfId="0" applyNumberFormat="1" applyBorder="1"/>
    <xf numFmtId="165" fontId="2" fillId="0" borderId="8" xfId="0" applyNumberFormat="1" applyFont="1" applyBorder="1"/>
    <xf numFmtId="165" fontId="0" fillId="0" borderId="0" xfId="0" applyNumberFormat="1"/>
    <xf numFmtId="14" fontId="0" fillId="0" borderId="10" xfId="0" applyNumberFormat="1" applyBorder="1"/>
    <xf numFmtId="14" fontId="4" fillId="0" borderId="2" xfId="0" applyNumberFormat="1" applyFont="1" applyBorder="1" applyAlignment="1">
      <alignment horizontal="center"/>
    </xf>
    <xf numFmtId="14" fontId="0" fillId="0" borderId="6" xfId="0" applyNumberFormat="1" applyBorder="1"/>
    <xf numFmtId="14" fontId="0" fillId="0" borderId="0" xfId="0" applyNumberFormat="1"/>
    <xf numFmtId="164" fontId="0" fillId="0" borderId="13" xfId="0" applyNumberFormat="1" applyBorder="1"/>
    <xf numFmtId="164" fontId="0" fillId="0" borderId="0" xfId="0" applyNumberFormat="1" applyBorder="1"/>
    <xf numFmtId="164" fontId="5" fillId="0" borderId="0" xfId="0" applyNumberFormat="1" applyFont="1" applyBorder="1"/>
    <xf numFmtId="164" fontId="0" fillId="0" borderId="1" xfId="0" applyNumberFormat="1" applyBorder="1"/>
    <xf numFmtId="164" fontId="2" fillId="0" borderId="8" xfId="0" applyNumberFormat="1" applyFont="1" applyBorder="1"/>
    <xf numFmtId="164" fontId="7" fillId="0" borderId="14" xfId="0" applyNumberFormat="1" applyFont="1" applyBorder="1"/>
    <xf numFmtId="164" fontId="7" fillId="0" borderId="11" xfId="0" applyNumberFormat="1" applyFont="1" applyBorder="1"/>
    <xf numFmtId="164" fontId="8" fillId="0" borderId="2" xfId="0" applyNumberFormat="1" applyFont="1" applyBorder="1" applyAlignment="1">
      <alignment horizontal="center"/>
    </xf>
    <xf numFmtId="164" fontId="9" fillId="0" borderId="7" xfId="0" applyNumberFormat="1" applyFont="1" applyBorder="1"/>
    <xf numFmtId="164" fontId="9" fillId="0" borderId="9" xfId="0" applyNumberFormat="1" applyFont="1" applyBorder="1"/>
    <xf numFmtId="164" fontId="7" fillId="0" borderId="0" xfId="0" applyNumberFormat="1" applyFont="1"/>
    <xf numFmtId="14" fontId="4" fillId="0" borderId="1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5" fontId="4" fillId="0" borderId="0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3" xfId="0" applyBorder="1" applyAlignment="1"/>
    <xf numFmtId="0" fontId="0" fillId="0" borderId="0" xfId="0" applyBorder="1" applyAlignment="1"/>
    <xf numFmtId="14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2" xfId="0" applyNumberFormat="1" applyBorder="1" applyAlignment="1"/>
    <xf numFmtId="14" fontId="0" fillId="0" borderId="10" xfId="0" applyNumberFormat="1" applyBorder="1" applyAlignment="1"/>
    <xf numFmtId="49" fontId="1" fillId="0" borderId="1" xfId="0" applyNumberFormat="1" applyFont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9" fillId="2" borderId="7" xfId="0" applyNumberFormat="1" applyFont="1" applyFill="1" applyBorder="1" applyAlignment="1">
      <alignment horizontal="center" vertical="center"/>
    </xf>
    <xf numFmtId="0" fontId="0" fillId="2" borderId="0" xfId="0" applyFill="1"/>
    <xf numFmtId="4" fontId="0" fillId="0" borderId="0" xfId="0" applyNumberFormat="1"/>
    <xf numFmtId="14" fontId="0" fillId="2" borderId="6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9" fillId="2" borderId="7" xfId="0" applyNumberFormat="1" applyFont="1" applyFill="1" applyBorder="1" applyAlignment="1">
      <alignment horizontal="center"/>
    </xf>
    <xf numFmtId="165" fontId="0" fillId="2" borderId="1" xfId="0" applyNumberFormat="1" applyFill="1" applyBorder="1"/>
    <xf numFmtId="164" fontId="9" fillId="2" borderId="5" xfId="0" applyNumberFormat="1" applyFont="1" applyFill="1" applyBorder="1" applyAlignment="1">
      <alignment horizontal="center"/>
    </xf>
    <xf numFmtId="14" fontId="0" fillId="2" borderId="6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/>
    <xf numFmtId="164" fontId="9" fillId="2" borderId="7" xfId="0" applyNumberFormat="1" applyFont="1" applyFill="1" applyBorder="1"/>
    <xf numFmtId="0" fontId="0" fillId="2" borderId="8" xfId="0" applyFill="1" applyBorder="1"/>
    <xf numFmtId="165" fontId="2" fillId="2" borderId="8" xfId="0" applyNumberFormat="1" applyFont="1" applyFill="1" applyBorder="1"/>
    <xf numFmtId="164" fontId="2" fillId="2" borderId="8" xfId="0" applyNumberFormat="1" applyFont="1" applyFill="1" applyBorder="1"/>
    <xf numFmtId="164" fontId="9" fillId="2" borderId="9" xfId="0" applyNumberFormat="1" applyFont="1" applyFill="1" applyBorder="1"/>
    <xf numFmtId="14" fontId="0" fillId="2" borderId="12" xfId="0" applyNumberFormat="1" applyFill="1" applyBorder="1" applyAlignment="1"/>
    <xf numFmtId="0" fontId="0" fillId="2" borderId="13" xfId="0" applyFill="1" applyBorder="1" applyAlignment="1"/>
    <xf numFmtId="165" fontId="0" fillId="2" borderId="13" xfId="0" applyNumberFormat="1" applyFill="1" applyBorder="1"/>
    <xf numFmtId="164" fontId="0" fillId="2" borderId="13" xfId="0" applyNumberFormat="1" applyFill="1" applyBorder="1"/>
    <xf numFmtId="164" fontId="7" fillId="2" borderId="14" xfId="0" applyNumberFormat="1" applyFont="1" applyFill="1" applyBorder="1"/>
    <xf numFmtId="14" fontId="0" fillId="2" borderId="10" xfId="0" applyNumberFormat="1" applyFill="1" applyBorder="1" applyAlignment="1"/>
    <xf numFmtId="0" fontId="0" fillId="2" borderId="0" xfId="0" applyFill="1" applyBorder="1" applyAlignment="1"/>
    <xf numFmtId="165" fontId="0" fillId="2" borderId="0" xfId="0" applyNumberFormat="1" applyFill="1" applyBorder="1"/>
    <xf numFmtId="164" fontId="0" fillId="2" borderId="0" xfId="0" applyNumberFormat="1" applyFill="1" applyBorder="1"/>
    <xf numFmtId="164" fontId="7" fillId="2" borderId="11" xfId="0" applyNumberFormat="1" applyFont="1" applyFill="1" applyBorder="1"/>
    <xf numFmtId="164" fontId="5" fillId="2" borderId="0" xfId="0" applyNumberFormat="1" applyFont="1" applyFill="1" applyBorder="1"/>
    <xf numFmtId="14" fontId="0" fillId="2" borderId="10" xfId="0" applyNumberFormat="1" applyFill="1" applyBorder="1"/>
    <xf numFmtId="0" fontId="0" fillId="2" borderId="0" xfId="0" applyFill="1" applyBorder="1"/>
    <xf numFmtId="14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4" fontId="8" fillId="2" borderId="2" xfId="0" applyNumberFormat="1" applyFont="1" applyFill="1" applyBorder="1" applyAlignment="1">
      <alignment horizontal="center"/>
    </xf>
    <xf numFmtId="14" fontId="4" fillId="2" borderId="1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65" fontId="4" fillId="2" borderId="0" xfId="0" applyNumberFormat="1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/>
    </xf>
    <xf numFmtId="164" fontId="8" fillId="2" borderId="11" xfId="0" applyNumberFormat="1" applyFon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49" fontId="1" fillId="2" borderId="1" xfId="0" applyNumberFormat="1" applyFont="1" applyFill="1" applyBorder="1"/>
    <xf numFmtId="14" fontId="0" fillId="2" borderId="0" xfId="0" applyNumberFormat="1" applyFill="1"/>
    <xf numFmtId="165" fontId="0" fillId="2" borderId="0" xfId="0" applyNumberFormat="1" applyFill="1"/>
    <xf numFmtId="164" fontId="0" fillId="2" borderId="0" xfId="0" applyNumberFormat="1" applyFill="1"/>
    <xf numFmtId="164" fontId="7" fillId="2" borderId="0" xfId="0" applyNumberFormat="1" applyFont="1" applyFill="1"/>
    <xf numFmtId="0" fontId="0" fillId="2" borderId="6" xfId="0" applyNumberFormat="1" applyFill="1" applyBorder="1" applyAlignment="1">
      <alignment horizontal="center"/>
    </xf>
    <xf numFmtId="167" fontId="4" fillId="2" borderId="2" xfId="0" applyNumberFormat="1" applyFont="1" applyFill="1" applyBorder="1" applyAlignment="1">
      <alignment horizontal="center"/>
    </xf>
    <xf numFmtId="0" fontId="4" fillId="2" borderId="2" xfId="0" applyNumberFormat="1" applyFont="1" applyFill="1" applyBorder="1" applyAlignment="1">
      <alignment horizontal="center"/>
    </xf>
    <xf numFmtId="166" fontId="4" fillId="2" borderId="10" xfId="0" applyNumberFormat="1" applyFont="1" applyFill="1" applyBorder="1" applyAlignment="1">
      <alignment horizontal="center"/>
    </xf>
    <xf numFmtId="14" fontId="11" fillId="2" borderId="6" xfId="0" applyNumberFormat="1" applyFont="1" applyFill="1" applyBorder="1" applyAlignment="1">
      <alignment horizontal="center"/>
    </xf>
    <xf numFmtId="0" fontId="11" fillId="2" borderId="6" xfId="0" applyNumberFormat="1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/>
    </xf>
    <xf numFmtId="165" fontId="11" fillId="2" borderId="1" xfId="0" applyNumberFormat="1" applyFont="1" applyFill="1" applyBorder="1"/>
    <xf numFmtId="164" fontId="11" fillId="2" borderId="1" xfId="0" applyNumberFormat="1" applyFon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0" fontId="11" fillId="2" borderId="0" xfId="0" applyFont="1" applyFill="1"/>
    <xf numFmtId="168" fontId="0" fillId="2" borderId="0" xfId="0" applyNumberFormat="1" applyFill="1"/>
    <xf numFmtId="0" fontId="0" fillId="2" borderId="0" xfId="0" applyNumberFormat="1" applyFill="1"/>
    <xf numFmtId="14" fontId="0" fillId="3" borderId="6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165" fontId="0" fillId="3" borderId="1" xfId="0" applyNumberFormat="1" applyFill="1" applyBorder="1"/>
    <xf numFmtId="164" fontId="0" fillId="3" borderId="1" xfId="0" applyNumberFormat="1" applyFill="1" applyBorder="1" applyAlignment="1">
      <alignment horizontal="center"/>
    </xf>
    <xf numFmtId="164" fontId="9" fillId="3" borderId="5" xfId="0" applyNumberFormat="1" applyFont="1" applyFill="1" applyBorder="1" applyAlignment="1">
      <alignment horizontal="center"/>
    </xf>
    <xf numFmtId="0" fontId="0" fillId="3" borderId="0" xfId="0" applyFill="1"/>
    <xf numFmtId="164" fontId="9" fillId="3" borderId="7" xfId="0" applyNumberFormat="1" applyFont="1" applyFill="1" applyBorder="1" applyAlignment="1">
      <alignment horizontal="center"/>
    </xf>
    <xf numFmtId="3" fontId="0" fillId="3" borderId="6" xfId="0" applyNumberFormat="1" applyFill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14" fontId="0" fillId="0" borderId="17" xfId="0" applyNumberFormat="1" applyBorder="1" applyAlignment="1">
      <alignment vertical="center" wrapText="1"/>
    </xf>
    <xf numFmtId="14" fontId="0" fillId="0" borderId="17" xfId="0" applyNumberForma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0" fillId="0" borderId="17" xfId="0" applyNumberFormat="1" applyBorder="1" applyAlignment="1">
      <alignment vertical="center" wrapText="1"/>
    </xf>
    <xf numFmtId="0" fontId="0" fillId="0" borderId="0" xfId="0" applyNumberFormat="1"/>
    <xf numFmtId="3" fontId="0" fillId="0" borderId="17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2258-F87A-41B2-A842-365A5D3D218F}">
  <sheetPr codeName="Sheet1">
    <pageSetUpPr fitToPage="1"/>
  </sheetPr>
  <dimension ref="A1:J260"/>
  <sheetViews>
    <sheetView showGridLines="0" topLeftCell="A6" zoomScaleNormal="100" workbookViewId="0">
      <selection activeCell="I53" sqref="I53"/>
    </sheetView>
  </sheetViews>
  <sheetFormatPr defaultRowHeight="15" x14ac:dyDescent="0.25"/>
  <cols>
    <col min="2" max="2" width="9.7109375" style="17" bestFit="1" customWidth="1"/>
    <col min="3" max="3" width="10.7109375" bestFit="1" customWidth="1"/>
    <col min="4" max="4" width="68.5703125" customWidth="1"/>
    <col min="5" max="5" width="9.5703125" style="13" bestFit="1" customWidth="1"/>
    <col min="6" max="6" width="14.5703125" style="7" bestFit="1" customWidth="1"/>
    <col min="7" max="7" width="11" style="28" bestFit="1" customWidth="1"/>
    <col min="10" max="10" width="10.140625" bestFit="1" customWidth="1"/>
  </cols>
  <sheetData>
    <row r="1" spans="2:7" x14ac:dyDescent="0.25">
      <c r="B1" s="146"/>
      <c r="C1" s="147"/>
      <c r="D1" s="150" t="s">
        <v>109</v>
      </c>
      <c r="E1" s="8"/>
      <c r="F1" s="18"/>
      <c r="G1" s="23"/>
    </row>
    <row r="2" spans="2:7" x14ac:dyDescent="0.25">
      <c r="B2" s="148"/>
      <c r="C2" s="149"/>
      <c r="D2" s="151"/>
      <c r="E2" s="9"/>
      <c r="F2" s="19"/>
      <c r="G2" s="24"/>
    </row>
    <row r="3" spans="2:7" x14ac:dyDescent="0.25">
      <c r="B3" s="148"/>
      <c r="C3" s="149"/>
      <c r="D3" s="151"/>
      <c r="E3" s="9"/>
      <c r="F3" s="19"/>
      <c r="G3" s="24"/>
    </row>
    <row r="4" spans="2:7" x14ac:dyDescent="0.25">
      <c r="B4" s="148"/>
      <c r="C4" s="149"/>
      <c r="D4" s="151"/>
      <c r="E4" s="9"/>
      <c r="F4" s="19"/>
      <c r="G4" s="24"/>
    </row>
    <row r="5" spans="2:7" x14ac:dyDescent="0.25">
      <c r="B5" s="148"/>
      <c r="C5" s="149"/>
      <c r="D5" s="151"/>
      <c r="E5" s="9"/>
      <c r="F5" s="19"/>
      <c r="G5" s="24"/>
    </row>
    <row r="6" spans="2:7" ht="18.75" x14ac:dyDescent="0.3">
      <c r="B6" s="148"/>
      <c r="C6" s="149"/>
      <c r="D6" s="151"/>
      <c r="E6" s="9"/>
      <c r="F6" s="20">
        <f ca="1">TODAY()</f>
        <v>44575</v>
      </c>
      <c r="G6" s="24"/>
    </row>
    <row r="7" spans="2:7" x14ac:dyDescent="0.25">
      <c r="B7" s="148"/>
      <c r="C7" s="149"/>
      <c r="D7" s="151"/>
      <c r="E7" s="9"/>
      <c r="F7" s="19"/>
      <c r="G7" s="24"/>
    </row>
    <row r="8" spans="2:7" x14ac:dyDescent="0.25">
      <c r="B8" s="148"/>
      <c r="C8" s="149"/>
      <c r="D8" s="151"/>
      <c r="E8" s="9"/>
      <c r="F8" s="19"/>
      <c r="G8" s="24"/>
    </row>
    <row r="9" spans="2:7" x14ac:dyDescent="0.25">
      <c r="B9" s="148"/>
      <c r="C9" s="149"/>
      <c r="D9" s="151"/>
      <c r="E9" s="9"/>
      <c r="F9" s="19"/>
      <c r="G9" s="24"/>
    </row>
    <row r="10" spans="2:7" ht="15.75" thickBot="1" x14ac:dyDescent="0.3">
      <c r="B10" s="14"/>
      <c r="C10" s="5"/>
      <c r="D10" s="5"/>
      <c r="E10" s="9"/>
      <c r="F10" s="19"/>
      <c r="G10" s="24"/>
    </row>
    <row r="11" spans="2:7" ht="19.5" thickBot="1" x14ac:dyDescent="0.3">
      <c r="B11" s="44" t="s">
        <v>0</v>
      </c>
      <c r="C11" s="45" t="s">
        <v>5</v>
      </c>
      <c r="D11" s="45" t="s">
        <v>1</v>
      </c>
      <c r="E11" s="46" t="s">
        <v>2</v>
      </c>
      <c r="F11" s="47" t="s">
        <v>3</v>
      </c>
      <c r="G11" s="48" t="s">
        <v>4</v>
      </c>
    </row>
    <row r="12" spans="2:7" x14ac:dyDescent="0.25">
      <c r="B12" s="49"/>
      <c r="C12" s="50"/>
      <c r="D12" s="51"/>
      <c r="E12" s="52"/>
      <c r="F12" s="53"/>
      <c r="G12" s="54">
        <v>630398</v>
      </c>
    </row>
    <row r="13" spans="2:7" x14ac:dyDescent="0.25">
      <c r="B13" s="49">
        <v>44202</v>
      </c>
      <c r="C13" s="50"/>
      <c r="D13" s="51"/>
      <c r="E13" s="52"/>
      <c r="F13" s="53">
        <v>200000</v>
      </c>
      <c r="G13" s="54">
        <f>G12+E13-F13</f>
        <v>430398</v>
      </c>
    </row>
    <row r="14" spans="2:7" x14ac:dyDescent="0.25">
      <c r="B14" s="55">
        <v>44261</v>
      </c>
      <c r="C14" s="56">
        <v>220</v>
      </c>
      <c r="D14" s="57" t="s">
        <v>6</v>
      </c>
      <c r="E14" s="58">
        <v>79584</v>
      </c>
      <c r="F14" s="59"/>
      <c r="G14" s="60">
        <f>G13+E14-F14</f>
        <v>509982</v>
      </c>
    </row>
    <row r="15" spans="2:7" x14ac:dyDescent="0.25">
      <c r="B15" s="55">
        <v>44261</v>
      </c>
      <c r="C15" s="56">
        <v>221</v>
      </c>
      <c r="D15" s="57" t="s">
        <v>7</v>
      </c>
      <c r="E15" s="58">
        <v>139800</v>
      </c>
      <c r="F15" s="59"/>
      <c r="G15" s="60">
        <f t="shared" ref="G15:G50" si="0">G14+E15-F15</f>
        <v>649782</v>
      </c>
    </row>
    <row r="16" spans="2:7" x14ac:dyDescent="0.25">
      <c r="B16" s="55">
        <v>44261</v>
      </c>
      <c r="C16" s="56">
        <v>221</v>
      </c>
      <c r="D16" s="57" t="s">
        <v>8</v>
      </c>
      <c r="E16" s="58">
        <v>21000</v>
      </c>
      <c r="F16" s="59"/>
      <c r="G16" s="60">
        <f t="shared" si="0"/>
        <v>670782</v>
      </c>
    </row>
    <row r="17" spans="2:7" x14ac:dyDescent="0.25">
      <c r="B17" s="55">
        <v>44261</v>
      </c>
      <c r="C17" s="56">
        <v>221</v>
      </c>
      <c r="D17" s="57" t="s">
        <v>9</v>
      </c>
      <c r="E17" s="58">
        <v>31465</v>
      </c>
      <c r="F17" s="59"/>
      <c r="G17" s="60">
        <f>G16+E17-F17</f>
        <v>702247</v>
      </c>
    </row>
    <row r="18" spans="2:7" x14ac:dyDescent="0.25">
      <c r="B18" s="55">
        <v>44261</v>
      </c>
      <c r="C18" s="56">
        <v>221</v>
      </c>
      <c r="D18" s="57"/>
      <c r="E18" s="58">
        <v>0</v>
      </c>
      <c r="F18" s="59"/>
      <c r="G18" s="60">
        <f>G17+E18-F18</f>
        <v>702247</v>
      </c>
    </row>
    <row r="19" spans="2:7" x14ac:dyDescent="0.25">
      <c r="B19" s="55">
        <v>44261</v>
      </c>
      <c r="C19" s="56">
        <v>222</v>
      </c>
      <c r="D19" s="57" t="s">
        <v>10</v>
      </c>
      <c r="E19" s="58">
        <v>93760</v>
      </c>
      <c r="F19" s="59"/>
      <c r="G19" s="60">
        <f>G18+E19-F19</f>
        <v>796007</v>
      </c>
    </row>
    <row r="20" spans="2:7" x14ac:dyDescent="0.25">
      <c r="B20" s="55">
        <v>44261</v>
      </c>
      <c r="C20" s="56">
        <v>223</v>
      </c>
      <c r="D20" s="57" t="s">
        <v>11</v>
      </c>
      <c r="E20" s="58">
        <v>24050</v>
      </c>
      <c r="F20" s="59"/>
      <c r="G20" s="60">
        <f t="shared" si="0"/>
        <v>820057</v>
      </c>
    </row>
    <row r="21" spans="2:7" x14ac:dyDescent="0.25">
      <c r="B21" s="55">
        <v>44261</v>
      </c>
      <c r="C21" s="56">
        <v>224</v>
      </c>
      <c r="D21" s="57" t="s">
        <v>12</v>
      </c>
      <c r="E21" s="58">
        <v>5250</v>
      </c>
      <c r="F21" s="59"/>
      <c r="G21" s="60">
        <f t="shared" si="0"/>
        <v>825307</v>
      </c>
    </row>
    <row r="22" spans="2:7" x14ac:dyDescent="0.25">
      <c r="B22" s="55">
        <v>44261</v>
      </c>
      <c r="C22" s="56">
        <v>224</v>
      </c>
      <c r="D22" s="57" t="s">
        <v>13</v>
      </c>
      <c r="E22" s="58">
        <v>60900</v>
      </c>
      <c r="F22" s="59"/>
      <c r="G22" s="60">
        <f t="shared" si="0"/>
        <v>886207</v>
      </c>
    </row>
    <row r="23" spans="2:7" x14ac:dyDescent="0.25">
      <c r="B23" s="55">
        <v>44445</v>
      </c>
      <c r="C23" s="56"/>
      <c r="D23" s="57"/>
      <c r="E23" s="58"/>
      <c r="F23" s="59">
        <v>100000</v>
      </c>
      <c r="G23" s="60">
        <f t="shared" si="0"/>
        <v>786207</v>
      </c>
    </row>
    <row r="24" spans="2:7" ht="15" customHeight="1" x14ac:dyDescent="0.25">
      <c r="B24" s="55">
        <v>44536</v>
      </c>
      <c r="C24" s="56">
        <v>225</v>
      </c>
      <c r="D24" s="57" t="s">
        <v>14</v>
      </c>
      <c r="E24" s="58">
        <v>70400</v>
      </c>
      <c r="F24" s="59"/>
      <c r="G24" s="60">
        <f>G23+E24-F24</f>
        <v>856607</v>
      </c>
    </row>
    <row r="25" spans="2:7" ht="15" customHeight="1" x14ac:dyDescent="0.25">
      <c r="B25" s="55">
        <v>44536</v>
      </c>
      <c r="C25" s="56">
        <v>225</v>
      </c>
      <c r="D25" s="57" t="s">
        <v>15</v>
      </c>
      <c r="E25" s="58">
        <v>10000</v>
      </c>
      <c r="F25" s="59"/>
      <c r="G25" s="60">
        <f t="shared" si="0"/>
        <v>866607</v>
      </c>
    </row>
    <row r="26" spans="2:7" ht="15" customHeight="1" x14ac:dyDescent="0.25">
      <c r="B26" s="55">
        <v>44536</v>
      </c>
      <c r="C26" s="56">
        <v>225</v>
      </c>
      <c r="D26" s="57" t="s">
        <v>16</v>
      </c>
      <c r="E26" s="58">
        <v>16000</v>
      </c>
      <c r="F26" s="59"/>
      <c r="G26" s="60">
        <f t="shared" si="0"/>
        <v>882607</v>
      </c>
    </row>
    <row r="27" spans="2:7" s="67" customFormat="1" ht="15" customHeight="1" x14ac:dyDescent="0.25">
      <c r="B27" s="61" t="s">
        <v>17</v>
      </c>
      <c r="C27" s="62">
        <v>226</v>
      </c>
      <c r="D27" s="63" t="s">
        <v>18</v>
      </c>
      <c r="E27" s="64">
        <v>74793</v>
      </c>
      <c r="F27" s="65"/>
      <c r="G27" s="66">
        <f t="shared" si="0"/>
        <v>957400</v>
      </c>
    </row>
    <row r="28" spans="2:7" s="67" customFormat="1" ht="15" customHeight="1" x14ac:dyDescent="0.25">
      <c r="B28" s="61" t="s">
        <v>17</v>
      </c>
      <c r="C28" s="62">
        <v>226</v>
      </c>
      <c r="D28" s="63" t="s">
        <v>19</v>
      </c>
      <c r="E28" s="64">
        <v>7200</v>
      </c>
      <c r="F28" s="65"/>
      <c r="G28" s="66">
        <f t="shared" si="0"/>
        <v>964600</v>
      </c>
    </row>
    <row r="29" spans="2:7" ht="18.75" customHeight="1" x14ac:dyDescent="0.25">
      <c r="B29" s="55" t="s">
        <v>17</v>
      </c>
      <c r="C29" s="56">
        <v>227</v>
      </c>
      <c r="D29" s="57" t="s">
        <v>20</v>
      </c>
      <c r="E29" s="58">
        <v>37500</v>
      </c>
      <c r="F29" s="59"/>
      <c r="G29" s="60">
        <f t="shared" si="0"/>
        <v>1002100</v>
      </c>
    </row>
    <row r="30" spans="2:7" ht="15" customHeight="1" x14ac:dyDescent="0.25">
      <c r="B30" s="55" t="s">
        <v>21</v>
      </c>
      <c r="C30" s="56">
        <v>230</v>
      </c>
      <c r="D30" s="57" t="s">
        <v>22</v>
      </c>
      <c r="E30" s="58">
        <v>8500</v>
      </c>
      <c r="F30" s="59">
        <v>200000</v>
      </c>
      <c r="G30" s="60">
        <f>G29+E30-F30</f>
        <v>810600</v>
      </c>
    </row>
    <row r="31" spans="2:7" ht="15" customHeight="1" x14ac:dyDescent="0.25">
      <c r="B31" s="55" t="s">
        <v>21</v>
      </c>
      <c r="C31" s="56">
        <v>230</v>
      </c>
      <c r="D31" s="57" t="s">
        <v>92</v>
      </c>
      <c r="E31" s="58">
        <v>1150</v>
      </c>
      <c r="F31" s="59"/>
      <c r="G31" s="60">
        <f t="shared" ref="G31:G32" si="1">G30+E31-F31</f>
        <v>811750</v>
      </c>
    </row>
    <row r="32" spans="2:7" ht="15" customHeight="1" x14ac:dyDescent="0.25">
      <c r="B32" s="55" t="s">
        <v>23</v>
      </c>
      <c r="C32" s="56">
        <v>231</v>
      </c>
      <c r="D32" s="57" t="s">
        <v>19</v>
      </c>
      <c r="E32" s="58">
        <v>7200</v>
      </c>
      <c r="F32" s="59"/>
      <c r="G32" s="60">
        <f t="shared" si="1"/>
        <v>818950</v>
      </c>
    </row>
    <row r="33" spans="2:10" s="67" customFormat="1" x14ac:dyDescent="0.25">
      <c r="B33" s="61" t="s">
        <v>24</v>
      </c>
      <c r="C33" s="62">
        <v>232</v>
      </c>
      <c r="D33" s="63" t="s">
        <v>25</v>
      </c>
      <c r="E33" s="64">
        <v>62187</v>
      </c>
      <c r="F33" s="65"/>
      <c r="G33" s="66">
        <f>G32+E33-F33</f>
        <v>881137</v>
      </c>
    </row>
    <row r="34" spans="2:10" x14ac:dyDescent="0.25">
      <c r="B34" s="55" t="s">
        <v>24</v>
      </c>
      <c r="C34" s="56">
        <v>232</v>
      </c>
      <c r="D34" s="57" t="s">
        <v>26</v>
      </c>
      <c r="E34" s="58">
        <v>10000</v>
      </c>
      <c r="F34" s="59"/>
      <c r="G34" s="60">
        <f t="shared" si="0"/>
        <v>891137</v>
      </c>
    </row>
    <row r="35" spans="2:10" x14ac:dyDescent="0.25">
      <c r="B35" s="55" t="s">
        <v>24</v>
      </c>
      <c r="C35" s="56">
        <v>233</v>
      </c>
      <c r="D35" s="57" t="s">
        <v>27</v>
      </c>
      <c r="E35" s="58">
        <v>131520</v>
      </c>
      <c r="F35" s="59"/>
      <c r="G35" s="60">
        <f t="shared" si="0"/>
        <v>1022657</v>
      </c>
    </row>
    <row r="36" spans="2:10" s="67" customFormat="1" x14ac:dyDescent="0.25">
      <c r="B36" s="61" t="s">
        <v>24</v>
      </c>
      <c r="C36" s="62">
        <v>233</v>
      </c>
      <c r="D36" s="63" t="s">
        <v>28</v>
      </c>
      <c r="E36" s="64">
        <v>9000</v>
      </c>
      <c r="F36" s="65"/>
      <c r="G36" s="66">
        <f t="shared" si="0"/>
        <v>1031657</v>
      </c>
    </row>
    <row r="37" spans="2:10" x14ac:dyDescent="0.25">
      <c r="B37" s="55" t="s">
        <v>24</v>
      </c>
      <c r="C37" s="56">
        <v>234</v>
      </c>
      <c r="D37" s="57" t="s">
        <v>29</v>
      </c>
      <c r="E37" s="58">
        <v>69760</v>
      </c>
      <c r="F37" s="59"/>
      <c r="G37" s="60">
        <f t="shared" si="0"/>
        <v>1101417</v>
      </c>
    </row>
    <row r="38" spans="2:10" x14ac:dyDescent="0.25">
      <c r="B38" s="55" t="s">
        <v>24</v>
      </c>
      <c r="C38" s="56">
        <v>234</v>
      </c>
      <c r="D38" s="57" t="s">
        <v>30</v>
      </c>
      <c r="E38" s="58">
        <v>9000</v>
      </c>
      <c r="F38" s="59"/>
      <c r="G38" s="60">
        <f t="shared" si="0"/>
        <v>1110417</v>
      </c>
    </row>
    <row r="39" spans="2:10" x14ac:dyDescent="0.25">
      <c r="B39" s="55" t="s">
        <v>24</v>
      </c>
      <c r="C39" s="56">
        <v>236</v>
      </c>
      <c r="D39" s="57" t="s">
        <v>31</v>
      </c>
      <c r="E39" s="58">
        <v>50240</v>
      </c>
      <c r="F39" s="59"/>
      <c r="G39" s="60">
        <f t="shared" si="0"/>
        <v>1160657</v>
      </c>
    </row>
    <row r="40" spans="2:10" x14ac:dyDescent="0.25">
      <c r="B40" s="55" t="s">
        <v>32</v>
      </c>
      <c r="C40" s="56">
        <v>237</v>
      </c>
      <c r="D40" s="57" t="s">
        <v>33</v>
      </c>
      <c r="E40" s="58">
        <v>37440</v>
      </c>
      <c r="F40" s="59"/>
      <c r="G40" s="60">
        <f t="shared" si="0"/>
        <v>1198097</v>
      </c>
    </row>
    <row r="41" spans="2:10" x14ac:dyDescent="0.25">
      <c r="B41" s="55" t="s">
        <v>51</v>
      </c>
      <c r="C41" s="56"/>
      <c r="D41" s="57"/>
      <c r="E41" s="58"/>
      <c r="F41" s="59">
        <v>150000</v>
      </c>
      <c r="G41" s="60">
        <f t="shared" si="0"/>
        <v>1048097</v>
      </c>
    </row>
    <row r="42" spans="2:10" s="67" customFormat="1" x14ac:dyDescent="0.25">
      <c r="B42" s="61" t="s">
        <v>34</v>
      </c>
      <c r="C42" s="62">
        <v>240</v>
      </c>
      <c r="D42" s="63" t="s">
        <v>35</v>
      </c>
      <c r="E42" s="64">
        <v>4500</v>
      </c>
      <c r="F42" s="65"/>
      <c r="G42" s="66">
        <f>G41+E42-F42</f>
        <v>1052597</v>
      </c>
    </row>
    <row r="43" spans="2:10" x14ac:dyDescent="0.25">
      <c r="B43" s="55" t="s">
        <v>36</v>
      </c>
      <c r="C43" s="56">
        <v>241</v>
      </c>
      <c r="D43" s="57" t="s">
        <v>37</v>
      </c>
      <c r="E43" s="58">
        <v>36425</v>
      </c>
      <c r="F43" s="59"/>
      <c r="G43" s="60">
        <f t="shared" si="0"/>
        <v>1089022</v>
      </c>
    </row>
    <row r="44" spans="2:10" x14ac:dyDescent="0.25">
      <c r="B44" s="55" t="s">
        <v>38</v>
      </c>
      <c r="C44" s="56">
        <v>242</v>
      </c>
      <c r="D44" s="57" t="s">
        <v>39</v>
      </c>
      <c r="E44" s="58">
        <v>35312</v>
      </c>
      <c r="F44" s="59"/>
      <c r="G44" s="60">
        <f t="shared" si="0"/>
        <v>1124334</v>
      </c>
    </row>
    <row r="45" spans="2:10" x14ac:dyDescent="0.25">
      <c r="B45" s="55" t="s">
        <v>40</v>
      </c>
      <c r="C45" s="56">
        <v>244</v>
      </c>
      <c r="D45" s="57" t="s">
        <v>41</v>
      </c>
      <c r="E45" s="58">
        <v>34320</v>
      </c>
      <c r="F45" s="59"/>
      <c r="G45" s="60">
        <f t="shared" si="0"/>
        <v>1158654</v>
      </c>
    </row>
    <row r="46" spans="2:10" s="67" customFormat="1" x14ac:dyDescent="0.25">
      <c r="B46" s="61" t="s">
        <v>40</v>
      </c>
      <c r="C46" s="62">
        <v>244</v>
      </c>
      <c r="D46" s="63" t="s">
        <v>42</v>
      </c>
      <c r="E46" s="64">
        <v>4500</v>
      </c>
      <c r="F46" s="65"/>
      <c r="G46" s="66">
        <f t="shared" si="0"/>
        <v>1163154</v>
      </c>
    </row>
    <row r="47" spans="2:10" ht="15" customHeight="1" x14ac:dyDescent="0.25">
      <c r="B47" s="55" t="s">
        <v>40</v>
      </c>
      <c r="C47" s="56">
        <v>245</v>
      </c>
      <c r="D47" s="57" t="s">
        <v>43</v>
      </c>
      <c r="E47" s="58">
        <v>25250</v>
      </c>
      <c r="F47" s="59"/>
      <c r="G47" s="60">
        <f t="shared" si="0"/>
        <v>1188404</v>
      </c>
    </row>
    <row r="48" spans="2:10" ht="15" customHeight="1" x14ac:dyDescent="0.25">
      <c r="B48" s="55" t="s">
        <v>40</v>
      </c>
      <c r="C48" s="56">
        <v>246</v>
      </c>
      <c r="D48" s="57" t="s">
        <v>44</v>
      </c>
      <c r="E48" s="58">
        <v>34240</v>
      </c>
      <c r="F48" s="59"/>
      <c r="G48" s="60">
        <f t="shared" si="0"/>
        <v>1222644</v>
      </c>
      <c r="J48" s="68"/>
    </row>
    <row r="49" spans="2:7" ht="15" customHeight="1" x14ac:dyDescent="0.25">
      <c r="B49" s="55" t="s">
        <v>40</v>
      </c>
      <c r="C49" s="56">
        <v>247</v>
      </c>
      <c r="D49" s="57" t="s">
        <v>45</v>
      </c>
      <c r="E49" s="58">
        <v>42625</v>
      </c>
      <c r="F49" s="59"/>
      <c r="G49" s="60">
        <f t="shared" si="0"/>
        <v>1265269</v>
      </c>
    </row>
    <row r="50" spans="2:7" s="67" customFormat="1" ht="15" customHeight="1" x14ac:dyDescent="0.25">
      <c r="B50" s="61" t="s">
        <v>40</v>
      </c>
      <c r="C50" s="62">
        <v>247</v>
      </c>
      <c r="D50" s="63" t="s">
        <v>46</v>
      </c>
      <c r="E50" s="64">
        <v>31000</v>
      </c>
      <c r="F50" s="65"/>
      <c r="G50" s="66">
        <f t="shared" si="0"/>
        <v>1296269</v>
      </c>
    </row>
    <row r="51" spans="2:7" ht="15" customHeight="1" x14ac:dyDescent="0.25">
      <c r="B51" s="55" t="s">
        <v>52</v>
      </c>
      <c r="C51" s="56"/>
      <c r="D51" s="57"/>
      <c r="E51" s="58"/>
      <c r="F51" s="59">
        <v>400000</v>
      </c>
      <c r="G51" s="60">
        <f>G50+F52-F51</f>
        <v>896269</v>
      </c>
    </row>
    <row r="52" spans="2:7" ht="18.75" customHeight="1" x14ac:dyDescent="0.25">
      <c r="B52" s="55"/>
      <c r="C52" s="56"/>
      <c r="D52" s="57"/>
      <c r="E52" s="58"/>
      <c r="F52" s="59"/>
      <c r="G52" s="60"/>
    </row>
    <row r="53" spans="2:7" ht="15" customHeight="1" x14ac:dyDescent="0.25">
      <c r="B53" s="55"/>
      <c r="C53" s="56"/>
      <c r="D53" s="57"/>
      <c r="E53" s="58"/>
      <c r="F53" s="59"/>
      <c r="G53" s="60"/>
    </row>
    <row r="54" spans="2:7" ht="15" customHeight="1" x14ac:dyDescent="0.25">
      <c r="B54" s="55"/>
      <c r="C54" s="56"/>
      <c r="D54" s="57"/>
      <c r="E54" s="58"/>
      <c r="F54" s="59"/>
      <c r="G54" s="60"/>
    </row>
    <row r="55" spans="2:7" ht="15" customHeight="1" x14ac:dyDescent="0.25">
      <c r="B55" s="55"/>
      <c r="C55" s="56"/>
      <c r="D55" s="57"/>
      <c r="E55" s="58"/>
      <c r="F55" s="59"/>
      <c r="G55" s="60"/>
    </row>
    <row r="56" spans="2:7" x14ac:dyDescent="0.25">
      <c r="B56" s="55"/>
      <c r="C56" s="56"/>
      <c r="D56" s="57"/>
      <c r="E56" s="58"/>
      <c r="F56" s="59"/>
      <c r="G56" s="60"/>
    </row>
    <row r="57" spans="2:7" x14ac:dyDescent="0.25">
      <c r="B57" s="55"/>
      <c r="C57" s="56"/>
      <c r="D57" s="57"/>
      <c r="E57" s="58"/>
      <c r="F57" s="59"/>
      <c r="G57" s="60"/>
    </row>
    <row r="58" spans="2:7" x14ac:dyDescent="0.25">
      <c r="B58" s="55"/>
      <c r="C58" s="56"/>
      <c r="D58" s="57"/>
      <c r="E58" s="58"/>
      <c r="F58" s="59"/>
      <c r="G58" s="60"/>
    </row>
    <row r="59" spans="2:7" x14ac:dyDescent="0.25">
      <c r="B59" s="55"/>
      <c r="C59" s="56"/>
      <c r="D59" s="57"/>
      <c r="E59" s="58"/>
      <c r="F59" s="59"/>
      <c r="G59" s="60"/>
    </row>
    <row r="60" spans="2:7" x14ac:dyDescent="0.25">
      <c r="B60" s="55"/>
      <c r="C60" s="56"/>
      <c r="D60" s="57"/>
      <c r="E60" s="58"/>
      <c r="F60" s="59"/>
      <c r="G60" s="60"/>
    </row>
    <row r="61" spans="2:7" x14ac:dyDescent="0.25">
      <c r="B61" s="55"/>
      <c r="C61" s="56"/>
      <c r="D61" s="57"/>
      <c r="E61" s="58"/>
      <c r="F61" s="59"/>
      <c r="G61" s="60"/>
    </row>
    <row r="62" spans="2:7" x14ac:dyDescent="0.25">
      <c r="B62" s="55"/>
      <c r="C62" s="56"/>
      <c r="D62" s="57"/>
      <c r="E62" s="58"/>
      <c r="F62" s="59"/>
      <c r="G62" s="60"/>
    </row>
    <row r="63" spans="2:7" x14ac:dyDescent="0.25">
      <c r="B63" s="55"/>
      <c r="C63" s="56"/>
      <c r="D63" s="57"/>
      <c r="E63" s="58"/>
      <c r="F63" s="59"/>
      <c r="G63" s="60"/>
    </row>
    <row r="64" spans="2:7" x14ac:dyDescent="0.25">
      <c r="B64" s="16"/>
      <c r="C64" s="1"/>
      <c r="D64" s="2"/>
      <c r="E64" s="11"/>
      <c r="F64" s="21"/>
      <c r="G64" s="26"/>
    </row>
    <row r="65" spans="2:7" x14ac:dyDescent="0.25">
      <c r="B65" s="16"/>
      <c r="C65" s="1"/>
      <c r="D65" s="2"/>
      <c r="E65" s="11"/>
      <c r="F65" s="21"/>
      <c r="G65" s="26"/>
    </row>
    <row r="66" spans="2:7" x14ac:dyDescent="0.25">
      <c r="B66" s="16"/>
      <c r="C66" s="1"/>
      <c r="D66" s="2"/>
      <c r="E66" s="11"/>
      <c r="F66" s="21"/>
      <c r="G66" s="26"/>
    </row>
    <row r="67" spans="2:7" x14ac:dyDescent="0.25">
      <c r="B67" s="16"/>
      <c r="C67" s="1"/>
      <c r="D67" s="2"/>
      <c r="E67" s="11"/>
      <c r="F67" s="21"/>
      <c r="G67" s="26"/>
    </row>
    <row r="68" spans="2:7" x14ac:dyDescent="0.25">
      <c r="B68" s="16"/>
      <c r="C68" s="1"/>
      <c r="D68" s="2"/>
      <c r="E68" s="11"/>
      <c r="F68" s="21"/>
      <c r="G68" s="26"/>
    </row>
    <row r="69" spans="2:7" x14ac:dyDescent="0.25">
      <c r="B69" s="16"/>
      <c r="C69" s="1"/>
      <c r="D69" s="2"/>
      <c r="E69" s="11"/>
      <c r="F69" s="21"/>
      <c r="G69" s="26"/>
    </row>
    <row r="70" spans="2:7" x14ac:dyDescent="0.25">
      <c r="B70" s="16"/>
      <c r="C70" s="1"/>
      <c r="D70" s="2"/>
      <c r="E70" s="11"/>
      <c r="F70" s="21"/>
      <c r="G70" s="26"/>
    </row>
    <row r="71" spans="2:7" x14ac:dyDescent="0.25">
      <c r="B71" s="16"/>
      <c r="C71" s="1"/>
      <c r="D71" s="2"/>
      <c r="E71" s="11"/>
      <c r="F71" s="21"/>
      <c r="G71" s="26"/>
    </row>
    <row r="72" spans="2:7" x14ac:dyDescent="0.25">
      <c r="B72" s="16"/>
      <c r="C72" s="1"/>
      <c r="D72" s="2"/>
      <c r="E72" s="11"/>
      <c r="F72" s="21"/>
      <c r="G72" s="26"/>
    </row>
    <row r="73" spans="2:7" x14ac:dyDescent="0.25">
      <c r="B73" s="16"/>
      <c r="C73" s="1"/>
      <c r="D73" s="2"/>
      <c r="E73" s="11"/>
      <c r="F73" s="21"/>
      <c r="G73" s="26"/>
    </row>
    <row r="74" spans="2:7" x14ac:dyDescent="0.25">
      <c r="B74" s="16"/>
      <c r="C74" s="1"/>
      <c r="D74" s="2"/>
      <c r="E74" s="11"/>
      <c r="F74" s="21"/>
      <c r="G74" s="26"/>
    </row>
    <row r="75" spans="2:7" x14ac:dyDescent="0.25">
      <c r="B75" s="16"/>
      <c r="C75" s="1"/>
      <c r="D75" s="2"/>
      <c r="E75" s="11"/>
      <c r="F75" s="21"/>
      <c r="G75" s="26"/>
    </row>
    <row r="76" spans="2:7" x14ac:dyDescent="0.25">
      <c r="B76" s="16"/>
      <c r="C76" s="1"/>
      <c r="D76" s="2"/>
      <c r="E76" s="11"/>
      <c r="F76" s="21"/>
      <c r="G76" s="26"/>
    </row>
    <row r="77" spans="2:7" x14ac:dyDescent="0.25">
      <c r="B77" s="16"/>
      <c r="C77" s="1"/>
      <c r="D77" s="2"/>
      <c r="E77" s="11"/>
      <c r="F77" s="21"/>
      <c r="G77" s="26"/>
    </row>
    <row r="78" spans="2:7" x14ac:dyDescent="0.25">
      <c r="B78" s="16"/>
      <c r="C78" s="1"/>
      <c r="D78" s="2"/>
      <c r="E78" s="11"/>
      <c r="F78" s="21"/>
      <c r="G78" s="26"/>
    </row>
    <row r="79" spans="2:7" x14ac:dyDescent="0.25">
      <c r="B79" s="16"/>
      <c r="C79" s="1"/>
      <c r="D79" s="2"/>
      <c r="E79" s="11"/>
      <c r="F79" s="21"/>
      <c r="G79" s="26"/>
    </row>
    <row r="80" spans="2:7" x14ac:dyDescent="0.25">
      <c r="B80" s="16"/>
      <c r="C80" s="1"/>
      <c r="D80" s="2"/>
      <c r="E80" s="11"/>
      <c r="F80" s="21"/>
      <c r="G80" s="26"/>
    </row>
    <row r="81" spans="2:7" x14ac:dyDescent="0.25">
      <c r="B81" s="16"/>
      <c r="C81" s="1"/>
      <c r="D81" s="2"/>
      <c r="E81" s="11"/>
      <c r="F81" s="21"/>
      <c r="G81" s="26"/>
    </row>
    <row r="82" spans="2:7" x14ac:dyDescent="0.25">
      <c r="B82" s="16"/>
      <c r="C82" s="1"/>
      <c r="D82" s="2"/>
      <c r="E82" s="11"/>
      <c r="F82" s="21"/>
      <c r="G82" s="26"/>
    </row>
    <row r="83" spans="2:7" x14ac:dyDescent="0.25">
      <c r="B83" s="16"/>
      <c r="C83" s="1"/>
      <c r="D83" s="2"/>
      <c r="E83" s="11"/>
      <c r="F83" s="21"/>
      <c r="G83" s="26"/>
    </row>
    <row r="84" spans="2:7" x14ac:dyDescent="0.25">
      <c r="B84" s="16"/>
      <c r="C84" s="1"/>
      <c r="D84" s="2"/>
      <c r="E84" s="11"/>
      <c r="F84" s="21"/>
      <c r="G84" s="26"/>
    </row>
    <row r="85" spans="2:7" x14ac:dyDescent="0.25">
      <c r="B85" s="16"/>
      <c r="C85" s="1"/>
      <c r="D85" s="2"/>
      <c r="E85" s="11"/>
      <c r="F85" s="21"/>
      <c r="G85" s="26"/>
    </row>
    <row r="86" spans="2:7" x14ac:dyDescent="0.25">
      <c r="B86" s="16"/>
      <c r="C86" s="1"/>
      <c r="D86" s="2"/>
      <c r="E86" s="11"/>
      <c r="F86" s="21"/>
      <c r="G86" s="26"/>
    </row>
    <row r="87" spans="2:7" x14ac:dyDescent="0.25">
      <c r="B87" s="16"/>
      <c r="C87" s="1"/>
      <c r="D87" s="2"/>
      <c r="E87" s="11"/>
      <c r="F87" s="21"/>
      <c r="G87" s="26"/>
    </row>
    <row r="88" spans="2:7" x14ac:dyDescent="0.25">
      <c r="B88" s="16"/>
      <c r="C88" s="1"/>
      <c r="D88" s="2"/>
      <c r="E88" s="11"/>
      <c r="F88" s="21"/>
      <c r="G88" s="26"/>
    </row>
    <row r="89" spans="2:7" x14ac:dyDescent="0.25">
      <c r="B89" s="16"/>
      <c r="C89" s="1"/>
      <c r="D89" s="2"/>
      <c r="E89" s="11"/>
      <c r="F89" s="21"/>
      <c r="G89" s="26"/>
    </row>
    <row r="90" spans="2:7" x14ac:dyDescent="0.25">
      <c r="B90" s="16"/>
      <c r="C90" s="1"/>
      <c r="D90" s="2"/>
      <c r="E90" s="11"/>
      <c r="F90" s="21"/>
      <c r="G90" s="26"/>
    </row>
    <row r="91" spans="2:7" x14ac:dyDescent="0.25">
      <c r="B91" s="16"/>
      <c r="C91" s="1"/>
      <c r="D91" s="2"/>
      <c r="E91" s="11"/>
      <c r="F91" s="21"/>
      <c r="G91" s="26"/>
    </row>
    <row r="92" spans="2:7" x14ac:dyDescent="0.25">
      <c r="B92" s="16"/>
      <c r="C92" s="1"/>
      <c r="D92" s="2"/>
      <c r="E92" s="11"/>
      <c r="F92" s="21"/>
      <c r="G92" s="26"/>
    </row>
    <row r="93" spans="2:7" x14ac:dyDescent="0.25">
      <c r="B93" s="16"/>
      <c r="C93" s="1"/>
      <c r="D93" s="2"/>
      <c r="E93" s="11"/>
      <c r="F93" s="21"/>
      <c r="G93" s="26"/>
    </row>
    <row r="94" spans="2:7" x14ac:dyDescent="0.25">
      <c r="B94" s="16"/>
      <c r="C94" s="1"/>
      <c r="D94" s="2"/>
      <c r="E94" s="11"/>
      <c r="F94" s="21"/>
      <c r="G94" s="26"/>
    </row>
    <row r="95" spans="2:7" x14ac:dyDescent="0.25">
      <c r="B95" s="16"/>
      <c r="C95" s="1"/>
      <c r="D95" s="2"/>
      <c r="E95" s="11"/>
      <c r="F95" s="21"/>
      <c r="G95" s="26"/>
    </row>
    <row r="96" spans="2:7" x14ac:dyDescent="0.25">
      <c r="B96" s="16"/>
      <c r="C96" s="1"/>
      <c r="D96" s="2"/>
      <c r="E96" s="11"/>
      <c r="F96" s="21"/>
      <c r="G96" s="26"/>
    </row>
    <row r="97" spans="2:7" x14ac:dyDescent="0.25">
      <c r="B97" s="16"/>
      <c r="C97" s="1"/>
      <c r="D97" s="2"/>
      <c r="E97" s="11"/>
      <c r="F97" s="21"/>
      <c r="G97" s="26"/>
    </row>
    <row r="98" spans="2:7" x14ac:dyDescent="0.25">
      <c r="B98" s="16"/>
      <c r="C98" s="1"/>
      <c r="D98" s="2"/>
      <c r="E98" s="11"/>
      <c r="F98" s="21"/>
      <c r="G98" s="26"/>
    </row>
    <row r="99" spans="2:7" x14ac:dyDescent="0.25">
      <c r="B99" s="16"/>
      <c r="C99" s="1"/>
      <c r="D99" s="2"/>
      <c r="E99" s="11"/>
      <c r="F99" s="21"/>
      <c r="G99" s="26"/>
    </row>
    <row r="100" spans="2:7" x14ac:dyDescent="0.25">
      <c r="B100" s="16"/>
      <c r="C100" s="1"/>
      <c r="D100" s="2"/>
      <c r="E100" s="11"/>
      <c r="F100" s="21"/>
      <c r="G100" s="26"/>
    </row>
    <row r="101" spans="2:7" x14ac:dyDescent="0.25">
      <c r="B101" s="16"/>
      <c r="C101" s="1"/>
      <c r="D101" s="2"/>
      <c r="E101" s="11"/>
      <c r="F101" s="21"/>
      <c r="G101" s="26"/>
    </row>
    <row r="102" spans="2:7" x14ac:dyDescent="0.25">
      <c r="B102" s="16"/>
      <c r="C102" s="1"/>
      <c r="D102" s="2"/>
      <c r="E102" s="11"/>
      <c r="F102" s="21"/>
      <c r="G102" s="26"/>
    </row>
    <row r="103" spans="2:7" x14ac:dyDescent="0.25">
      <c r="B103" s="16"/>
      <c r="C103" s="1"/>
      <c r="D103" s="2"/>
      <c r="E103" s="11"/>
      <c r="F103" s="21"/>
      <c r="G103" s="26"/>
    </row>
    <row r="104" spans="2:7" x14ac:dyDescent="0.25">
      <c r="B104" s="16"/>
      <c r="C104" s="1"/>
      <c r="D104" s="2"/>
      <c r="E104" s="11"/>
      <c r="F104" s="21"/>
      <c r="G104" s="26"/>
    </row>
    <row r="105" spans="2:7" x14ac:dyDescent="0.25">
      <c r="B105" s="16"/>
      <c r="C105" s="1"/>
      <c r="D105" s="2"/>
      <c r="E105" s="11"/>
      <c r="F105" s="21"/>
      <c r="G105" s="26"/>
    </row>
    <row r="106" spans="2:7" x14ac:dyDescent="0.25">
      <c r="B106" s="16"/>
      <c r="C106" s="1"/>
      <c r="D106" s="2"/>
      <c r="E106" s="11"/>
      <c r="F106" s="21"/>
      <c r="G106" s="26"/>
    </row>
    <row r="107" spans="2:7" x14ac:dyDescent="0.25">
      <c r="B107" s="16"/>
      <c r="C107" s="1"/>
      <c r="D107" s="2"/>
      <c r="E107" s="11"/>
      <c r="F107" s="21"/>
      <c r="G107" s="26"/>
    </row>
    <row r="108" spans="2:7" x14ac:dyDescent="0.25">
      <c r="B108" s="16"/>
      <c r="C108" s="1"/>
      <c r="D108" s="2"/>
      <c r="E108" s="11"/>
      <c r="F108" s="21"/>
      <c r="G108" s="26"/>
    </row>
    <row r="109" spans="2:7" x14ac:dyDescent="0.25">
      <c r="B109" s="16"/>
      <c r="C109" s="1"/>
      <c r="D109" s="2"/>
      <c r="E109" s="11"/>
      <c r="F109" s="21"/>
      <c r="G109" s="26"/>
    </row>
    <row r="110" spans="2:7" x14ac:dyDescent="0.25">
      <c r="B110" s="16"/>
      <c r="C110" s="1"/>
      <c r="D110" s="2"/>
      <c r="E110" s="11"/>
      <c r="F110" s="21"/>
      <c r="G110" s="26"/>
    </row>
    <row r="111" spans="2:7" x14ac:dyDescent="0.25">
      <c r="B111" s="16"/>
      <c r="C111" s="1"/>
      <c r="D111" s="2"/>
      <c r="E111" s="11"/>
      <c r="F111" s="21"/>
      <c r="G111" s="26"/>
    </row>
    <row r="112" spans="2:7" x14ac:dyDescent="0.25">
      <c r="B112" s="16"/>
      <c r="C112" s="1"/>
      <c r="D112" s="2"/>
      <c r="E112" s="11"/>
      <c r="F112" s="21"/>
      <c r="G112" s="26"/>
    </row>
    <row r="113" spans="2:7" x14ac:dyDescent="0.25">
      <c r="B113" s="16"/>
      <c r="C113" s="1"/>
      <c r="D113" s="2"/>
      <c r="E113" s="11"/>
      <c r="F113" s="21"/>
      <c r="G113" s="26"/>
    </row>
    <row r="114" spans="2:7" x14ac:dyDescent="0.25">
      <c r="B114" s="16"/>
      <c r="C114" s="1"/>
      <c r="D114" s="2"/>
      <c r="E114" s="11"/>
      <c r="F114" s="21"/>
      <c r="G114" s="26"/>
    </row>
    <row r="115" spans="2:7" x14ac:dyDescent="0.25">
      <c r="B115" s="16"/>
      <c r="C115" s="1"/>
      <c r="D115" s="2"/>
      <c r="E115" s="11"/>
      <c r="F115" s="21"/>
      <c r="G115" s="26"/>
    </row>
    <row r="116" spans="2:7" x14ac:dyDescent="0.25">
      <c r="B116" s="16"/>
      <c r="C116" s="1"/>
      <c r="D116" s="2"/>
      <c r="E116" s="11"/>
      <c r="F116" s="21"/>
      <c r="G116" s="26"/>
    </row>
    <row r="117" spans="2:7" x14ac:dyDescent="0.25">
      <c r="B117" s="16"/>
      <c r="C117" s="1"/>
      <c r="D117" s="2"/>
      <c r="E117" s="11"/>
      <c r="F117" s="21"/>
      <c r="G117" s="26"/>
    </row>
    <row r="118" spans="2:7" x14ac:dyDescent="0.25">
      <c r="B118" s="16"/>
      <c r="C118" s="1"/>
      <c r="D118" s="2"/>
      <c r="E118" s="11"/>
      <c r="F118" s="21"/>
      <c r="G118" s="26"/>
    </row>
    <row r="119" spans="2:7" x14ac:dyDescent="0.25">
      <c r="B119" s="16"/>
      <c r="C119" s="1"/>
      <c r="D119" s="2"/>
      <c r="E119" s="11"/>
      <c r="F119" s="21"/>
      <c r="G119" s="26"/>
    </row>
    <row r="120" spans="2:7" x14ac:dyDescent="0.25">
      <c r="B120" s="16"/>
      <c r="C120" s="1"/>
      <c r="D120" s="2"/>
      <c r="E120" s="11"/>
      <c r="F120" s="21"/>
      <c r="G120" s="26"/>
    </row>
    <row r="121" spans="2:7" x14ac:dyDescent="0.25">
      <c r="B121" s="16"/>
      <c r="C121" s="1"/>
      <c r="D121" s="2"/>
      <c r="E121" s="11"/>
      <c r="F121" s="21"/>
      <c r="G121" s="26"/>
    </row>
    <row r="122" spans="2:7" x14ac:dyDescent="0.25">
      <c r="B122" s="16"/>
      <c r="C122" s="1"/>
      <c r="D122" s="2"/>
      <c r="E122" s="11"/>
      <c r="F122" s="21"/>
      <c r="G122" s="26"/>
    </row>
    <row r="123" spans="2:7" x14ac:dyDescent="0.25">
      <c r="B123" s="16"/>
      <c r="C123" s="1"/>
      <c r="D123" s="2"/>
      <c r="E123" s="11"/>
      <c r="F123" s="21"/>
      <c r="G123" s="26"/>
    </row>
    <row r="124" spans="2:7" x14ac:dyDescent="0.25">
      <c r="B124" s="16"/>
      <c r="C124" s="1"/>
      <c r="D124" s="2"/>
      <c r="E124" s="11"/>
      <c r="F124" s="21"/>
      <c r="G124" s="26"/>
    </row>
    <row r="125" spans="2:7" x14ac:dyDescent="0.25">
      <c r="B125" s="16"/>
      <c r="C125" s="1"/>
      <c r="D125" s="2"/>
      <c r="E125" s="11"/>
      <c r="F125" s="21"/>
      <c r="G125" s="26"/>
    </row>
    <row r="126" spans="2:7" x14ac:dyDescent="0.25">
      <c r="B126" s="16"/>
      <c r="C126" s="1"/>
      <c r="D126" s="2"/>
      <c r="E126" s="11"/>
      <c r="F126" s="21"/>
      <c r="G126" s="26"/>
    </row>
    <row r="127" spans="2:7" x14ac:dyDescent="0.25">
      <c r="B127" s="16"/>
      <c r="C127" s="1"/>
      <c r="D127" s="2"/>
      <c r="E127" s="11"/>
      <c r="F127" s="21"/>
      <c r="G127" s="26"/>
    </row>
    <row r="128" spans="2:7" x14ac:dyDescent="0.25">
      <c r="B128" s="16"/>
      <c r="C128" s="1"/>
      <c r="D128" s="2"/>
      <c r="E128" s="11"/>
      <c r="F128" s="21"/>
      <c r="G128" s="26"/>
    </row>
    <row r="129" spans="2:7" x14ac:dyDescent="0.25">
      <c r="B129" s="16"/>
      <c r="C129" s="1"/>
      <c r="D129" s="2"/>
      <c r="E129" s="11"/>
      <c r="F129" s="21"/>
      <c r="G129" s="26"/>
    </row>
    <row r="130" spans="2:7" x14ac:dyDescent="0.25">
      <c r="B130" s="16"/>
      <c r="C130" s="1"/>
      <c r="D130" s="2"/>
      <c r="E130" s="11"/>
      <c r="F130" s="21"/>
      <c r="G130" s="26"/>
    </row>
    <row r="131" spans="2:7" x14ac:dyDescent="0.25">
      <c r="B131" s="16"/>
      <c r="C131" s="1"/>
      <c r="D131" s="2"/>
      <c r="E131" s="11"/>
      <c r="F131" s="21"/>
      <c r="G131" s="26"/>
    </row>
    <row r="132" spans="2:7" x14ac:dyDescent="0.25">
      <c r="B132" s="16"/>
      <c r="C132" s="1"/>
      <c r="D132" s="2"/>
      <c r="E132" s="11"/>
      <c r="F132" s="21"/>
      <c r="G132" s="26"/>
    </row>
    <row r="133" spans="2:7" x14ac:dyDescent="0.25">
      <c r="B133" s="16"/>
      <c r="C133" s="1"/>
      <c r="D133" s="2"/>
      <c r="E133" s="11"/>
      <c r="F133" s="21"/>
      <c r="G133" s="26"/>
    </row>
    <row r="134" spans="2:7" x14ac:dyDescent="0.25">
      <c r="B134" s="16"/>
      <c r="C134" s="1"/>
      <c r="D134" s="2"/>
      <c r="E134" s="11"/>
      <c r="F134" s="21"/>
      <c r="G134" s="26"/>
    </row>
    <row r="135" spans="2:7" x14ac:dyDescent="0.25">
      <c r="B135" s="16"/>
      <c r="C135" s="1"/>
      <c r="D135" s="2"/>
      <c r="E135" s="11"/>
      <c r="F135" s="21"/>
      <c r="G135" s="26"/>
    </row>
    <row r="136" spans="2:7" x14ac:dyDescent="0.25">
      <c r="B136" s="16"/>
      <c r="C136" s="1"/>
      <c r="D136" s="2"/>
      <c r="E136" s="11"/>
      <c r="F136" s="21"/>
      <c r="G136" s="26"/>
    </row>
    <row r="137" spans="2:7" x14ac:dyDescent="0.25">
      <c r="B137" s="16"/>
      <c r="C137" s="1"/>
      <c r="D137" s="2"/>
      <c r="E137" s="11"/>
      <c r="F137" s="21"/>
      <c r="G137" s="26"/>
    </row>
    <row r="138" spans="2:7" x14ac:dyDescent="0.25">
      <c r="B138" s="16"/>
      <c r="C138" s="1"/>
      <c r="D138" s="2"/>
      <c r="E138" s="11"/>
      <c r="F138" s="21"/>
      <c r="G138" s="26"/>
    </row>
    <row r="139" spans="2:7" x14ac:dyDescent="0.25">
      <c r="B139" s="16"/>
      <c r="C139" s="1"/>
      <c r="D139" s="2"/>
      <c r="E139" s="11"/>
      <c r="F139" s="21"/>
      <c r="G139" s="26"/>
    </row>
    <row r="140" spans="2:7" x14ac:dyDescent="0.25">
      <c r="B140" s="16"/>
      <c r="C140" s="1"/>
      <c r="D140" s="2"/>
      <c r="E140" s="11"/>
      <c r="F140" s="21"/>
      <c r="G140" s="26"/>
    </row>
    <row r="141" spans="2:7" x14ac:dyDescent="0.25">
      <c r="B141" s="16"/>
      <c r="C141" s="1"/>
      <c r="D141" s="2"/>
      <c r="E141" s="11"/>
      <c r="F141" s="21"/>
      <c r="G141" s="26"/>
    </row>
    <row r="142" spans="2:7" x14ac:dyDescent="0.25">
      <c r="B142" s="16"/>
      <c r="C142" s="1"/>
      <c r="D142" s="2"/>
      <c r="E142" s="11"/>
      <c r="F142" s="21"/>
      <c r="G142" s="26"/>
    </row>
    <row r="143" spans="2:7" x14ac:dyDescent="0.25">
      <c r="B143" s="16"/>
      <c r="C143" s="1"/>
      <c r="D143" s="2"/>
      <c r="E143" s="11"/>
      <c r="F143" s="21"/>
      <c r="G143" s="26"/>
    </row>
    <row r="144" spans="2:7" x14ac:dyDescent="0.25">
      <c r="B144" s="16"/>
      <c r="C144" s="1"/>
      <c r="D144" s="2"/>
      <c r="E144" s="11"/>
      <c r="F144" s="21"/>
      <c r="G144" s="26"/>
    </row>
    <row r="145" spans="2:7" x14ac:dyDescent="0.25">
      <c r="B145" s="16"/>
      <c r="C145" s="1"/>
      <c r="D145" s="2"/>
      <c r="E145" s="11"/>
      <c r="F145" s="21"/>
      <c r="G145" s="26"/>
    </row>
    <row r="146" spans="2:7" x14ac:dyDescent="0.25">
      <c r="B146" s="16"/>
      <c r="C146" s="1"/>
      <c r="D146" s="2"/>
      <c r="E146" s="11"/>
      <c r="F146" s="21"/>
      <c r="G146" s="26"/>
    </row>
    <row r="147" spans="2:7" x14ac:dyDescent="0.25">
      <c r="B147" s="16"/>
      <c r="C147" s="1"/>
      <c r="D147" s="2"/>
      <c r="E147" s="11"/>
      <c r="F147" s="21"/>
      <c r="G147" s="26"/>
    </row>
    <row r="148" spans="2:7" x14ac:dyDescent="0.25">
      <c r="B148" s="16"/>
      <c r="C148" s="1"/>
      <c r="D148" s="2"/>
      <c r="E148" s="11"/>
      <c r="F148" s="21"/>
      <c r="G148" s="26"/>
    </row>
    <row r="149" spans="2:7" x14ac:dyDescent="0.25">
      <c r="B149" s="16"/>
      <c r="C149" s="1"/>
      <c r="D149" s="2"/>
      <c r="E149" s="11"/>
      <c r="F149" s="21"/>
      <c r="G149" s="26"/>
    </row>
    <row r="150" spans="2:7" x14ac:dyDescent="0.25">
      <c r="B150" s="16"/>
      <c r="C150" s="1"/>
      <c r="D150" s="2"/>
      <c r="E150" s="11"/>
      <c r="F150" s="21"/>
      <c r="G150" s="26"/>
    </row>
    <row r="151" spans="2:7" x14ac:dyDescent="0.25">
      <c r="B151" s="16"/>
      <c r="C151" s="1"/>
      <c r="D151" s="2"/>
      <c r="E151" s="11"/>
      <c r="F151" s="21"/>
      <c r="G151" s="26"/>
    </row>
    <row r="152" spans="2:7" x14ac:dyDescent="0.25">
      <c r="B152" s="16"/>
      <c r="C152" s="1"/>
      <c r="D152" s="2"/>
      <c r="E152" s="11"/>
      <c r="F152" s="21"/>
      <c r="G152" s="26"/>
    </row>
    <row r="153" spans="2:7" x14ac:dyDescent="0.25">
      <c r="B153" s="16"/>
      <c r="C153" s="1"/>
      <c r="D153" s="2"/>
      <c r="E153" s="11"/>
      <c r="F153" s="21"/>
      <c r="G153" s="26"/>
    </row>
    <row r="154" spans="2:7" x14ac:dyDescent="0.25">
      <c r="B154" s="16"/>
      <c r="C154" s="1"/>
      <c r="D154" s="2"/>
      <c r="E154" s="11"/>
      <c r="F154" s="21"/>
      <c r="G154" s="26"/>
    </row>
    <row r="155" spans="2:7" x14ac:dyDescent="0.25">
      <c r="B155" s="16"/>
      <c r="C155" s="1"/>
      <c r="D155" s="2"/>
      <c r="E155" s="11"/>
      <c r="F155" s="21"/>
      <c r="G155" s="26"/>
    </row>
    <row r="156" spans="2:7" x14ac:dyDescent="0.25">
      <c r="B156" s="16"/>
      <c r="C156" s="1"/>
      <c r="D156" s="2"/>
      <c r="E156" s="11"/>
      <c r="F156" s="21"/>
      <c r="G156" s="26"/>
    </row>
    <row r="157" spans="2:7" x14ac:dyDescent="0.25">
      <c r="B157" s="16"/>
      <c r="C157" s="1"/>
      <c r="D157" s="2"/>
      <c r="E157" s="11"/>
      <c r="F157" s="21"/>
      <c r="G157" s="26"/>
    </row>
    <row r="158" spans="2:7" x14ac:dyDescent="0.25">
      <c r="B158" s="16"/>
      <c r="C158" s="1"/>
      <c r="D158" s="2"/>
      <c r="E158" s="11"/>
      <c r="F158" s="21"/>
      <c r="G158" s="26"/>
    </row>
    <row r="159" spans="2:7" x14ac:dyDescent="0.25">
      <c r="B159" s="16"/>
      <c r="C159" s="1"/>
      <c r="D159" s="2"/>
      <c r="E159" s="11"/>
      <c r="F159" s="21"/>
      <c r="G159" s="26"/>
    </row>
    <row r="160" spans="2:7" x14ac:dyDescent="0.25">
      <c r="B160" s="16"/>
      <c r="C160" s="1"/>
      <c r="D160" s="2"/>
      <c r="E160" s="11"/>
      <c r="F160" s="21"/>
      <c r="G160" s="26"/>
    </row>
    <row r="161" spans="2:7" x14ac:dyDescent="0.25">
      <c r="B161" s="16"/>
      <c r="C161" s="1"/>
      <c r="D161" s="2"/>
      <c r="E161" s="11"/>
      <c r="F161" s="21"/>
      <c r="G161" s="26"/>
    </row>
    <row r="162" spans="2:7" x14ac:dyDescent="0.25">
      <c r="B162" s="16"/>
      <c r="C162" s="1"/>
      <c r="D162" s="2"/>
      <c r="E162" s="11"/>
      <c r="F162" s="21"/>
      <c r="G162" s="26"/>
    </row>
    <row r="163" spans="2:7" x14ac:dyDescent="0.25">
      <c r="B163" s="16"/>
      <c r="C163" s="1"/>
      <c r="D163" s="2"/>
      <c r="E163" s="11"/>
      <c r="F163" s="21"/>
      <c r="G163" s="26"/>
    </row>
    <row r="164" spans="2:7" x14ac:dyDescent="0.25">
      <c r="B164" s="16"/>
      <c r="C164" s="1"/>
      <c r="D164" s="2"/>
      <c r="E164" s="11"/>
      <c r="F164" s="21"/>
      <c r="G164" s="26"/>
    </row>
    <row r="165" spans="2:7" x14ac:dyDescent="0.25">
      <c r="B165" s="16"/>
      <c r="C165" s="1"/>
      <c r="D165" s="2"/>
      <c r="E165" s="11"/>
      <c r="F165" s="21"/>
      <c r="G165" s="26"/>
    </row>
    <row r="166" spans="2:7" x14ac:dyDescent="0.25">
      <c r="B166" s="16"/>
      <c r="C166" s="1"/>
      <c r="D166" s="2"/>
      <c r="E166" s="11"/>
      <c r="F166" s="21"/>
      <c r="G166" s="26"/>
    </row>
    <row r="167" spans="2:7" x14ac:dyDescent="0.25">
      <c r="B167" s="16"/>
      <c r="C167" s="1"/>
      <c r="D167" s="2"/>
      <c r="E167" s="11"/>
      <c r="F167" s="21"/>
      <c r="G167" s="26"/>
    </row>
    <row r="168" spans="2:7" x14ac:dyDescent="0.25">
      <c r="B168" s="16"/>
      <c r="C168" s="1"/>
      <c r="D168" s="2"/>
      <c r="E168" s="11"/>
      <c r="F168" s="21"/>
      <c r="G168" s="26"/>
    </row>
    <row r="169" spans="2:7" x14ac:dyDescent="0.25">
      <c r="B169" s="16"/>
      <c r="C169" s="1"/>
      <c r="D169" s="2"/>
      <c r="E169" s="11"/>
      <c r="F169" s="21"/>
      <c r="G169" s="26"/>
    </row>
    <row r="170" spans="2:7" x14ac:dyDescent="0.25">
      <c r="B170" s="16"/>
      <c r="C170" s="1"/>
      <c r="D170" s="2"/>
      <c r="E170" s="11"/>
      <c r="F170" s="21"/>
      <c r="G170" s="26"/>
    </row>
    <row r="171" spans="2:7" x14ac:dyDescent="0.25">
      <c r="B171" s="16"/>
      <c r="C171" s="1"/>
      <c r="D171" s="2"/>
      <c r="E171" s="11"/>
      <c r="F171" s="21"/>
      <c r="G171" s="26"/>
    </row>
    <row r="172" spans="2:7" x14ac:dyDescent="0.25">
      <c r="B172" s="16"/>
      <c r="C172" s="1"/>
      <c r="D172" s="2"/>
      <c r="E172" s="11"/>
      <c r="F172" s="21"/>
      <c r="G172" s="26"/>
    </row>
    <row r="173" spans="2:7" x14ac:dyDescent="0.25">
      <c r="B173" s="16"/>
      <c r="C173" s="1"/>
      <c r="D173" s="2"/>
      <c r="E173" s="11"/>
      <c r="F173" s="21"/>
      <c r="G173" s="26"/>
    </row>
    <row r="174" spans="2:7" x14ac:dyDescent="0.25">
      <c r="B174" s="16"/>
      <c r="C174" s="1"/>
      <c r="D174" s="2"/>
      <c r="E174" s="11"/>
      <c r="F174" s="21"/>
      <c r="G174" s="26"/>
    </row>
    <row r="175" spans="2:7" x14ac:dyDescent="0.25">
      <c r="B175" s="16"/>
      <c r="C175" s="1"/>
      <c r="D175" s="2"/>
      <c r="E175" s="11"/>
      <c r="F175" s="21"/>
      <c r="G175" s="26"/>
    </row>
    <row r="176" spans="2:7" x14ac:dyDescent="0.25">
      <c r="B176" s="16"/>
      <c r="C176" s="1"/>
      <c r="D176" s="2"/>
      <c r="E176" s="11"/>
      <c r="F176" s="21"/>
      <c r="G176" s="26"/>
    </row>
    <row r="177" spans="1:7" x14ac:dyDescent="0.25">
      <c r="B177" s="16"/>
      <c r="C177" s="1"/>
      <c r="D177" s="2"/>
      <c r="E177" s="11"/>
      <c r="F177" s="21"/>
      <c r="G177" s="26"/>
    </row>
    <row r="178" spans="1:7" x14ac:dyDescent="0.25">
      <c r="B178" s="16"/>
      <c r="C178" s="1"/>
      <c r="D178" s="2"/>
      <c r="E178" s="11"/>
      <c r="F178" s="21"/>
      <c r="G178" s="26"/>
    </row>
    <row r="179" spans="1:7" x14ac:dyDescent="0.25">
      <c r="A179" s="67"/>
      <c r="B179" s="77"/>
      <c r="C179" s="78"/>
      <c r="D179" s="78"/>
      <c r="E179" s="75"/>
      <c r="F179" s="79"/>
      <c r="G179" s="80"/>
    </row>
    <row r="180" spans="1:7" x14ac:dyDescent="0.25">
      <c r="A180" s="67"/>
      <c r="B180" s="77"/>
      <c r="C180" s="78"/>
      <c r="D180" s="78"/>
      <c r="E180" s="75"/>
      <c r="F180" s="79"/>
      <c r="G180" s="80"/>
    </row>
    <row r="181" spans="1:7" x14ac:dyDescent="0.25">
      <c r="A181" s="67"/>
      <c r="B181" s="77"/>
      <c r="C181" s="78"/>
      <c r="D181" s="78"/>
      <c r="E181" s="75"/>
      <c r="F181" s="79"/>
      <c r="G181" s="80"/>
    </row>
    <row r="182" spans="1:7" x14ac:dyDescent="0.25">
      <c r="A182" s="67"/>
      <c r="B182" s="77"/>
      <c r="C182" s="78"/>
      <c r="D182" s="78"/>
      <c r="E182" s="75"/>
      <c r="F182" s="79"/>
      <c r="G182" s="80"/>
    </row>
    <row r="183" spans="1:7" x14ac:dyDescent="0.25">
      <c r="A183" s="67"/>
      <c r="B183" s="77"/>
      <c r="C183" s="78"/>
      <c r="D183" s="78"/>
      <c r="E183" s="75"/>
      <c r="F183" s="79"/>
      <c r="G183" s="80"/>
    </row>
    <row r="184" spans="1:7" x14ac:dyDescent="0.25">
      <c r="A184" s="67"/>
      <c r="B184" s="77"/>
      <c r="C184" s="78"/>
      <c r="D184" s="78"/>
      <c r="E184" s="75"/>
      <c r="F184" s="79"/>
      <c r="G184" s="80"/>
    </row>
    <row r="185" spans="1:7" x14ac:dyDescent="0.25">
      <c r="A185" s="67"/>
      <c r="B185" s="77"/>
      <c r="C185" s="78"/>
      <c r="D185" s="78"/>
      <c r="E185" s="75"/>
      <c r="F185" s="79"/>
      <c r="G185" s="80"/>
    </row>
    <row r="186" spans="1:7" x14ac:dyDescent="0.25">
      <c r="A186" s="67"/>
      <c r="B186" s="77"/>
      <c r="C186" s="78"/>
      <c r="D186" s="78"/>
      <c r="E186" s="75"/>
      <c r="F186" s="79"/>
      <c r="G186" s="80"/>
    </row>
    <row r="187" spans="1:7" x14ac:dyDescent="0.25">
      <c r="A187" s="67"/>
      <c r="B187" s="77"/>
      <c r="C187" s="78"/>
      <c r="D187" s="78"/>
      <c r="E187" s="75"/>
      <c r="F187" s="79"/>
      <c r="G187" s="80"/>
    </row>
    <row r="188" spans="1:7" x14ac:dyDescent="0.25">
      <c r="A188" s="67"/>
      <c r="B188" s="77"/>
      <c r="C188" s="78"/>
      <c r="D188" s="78"/>
      <c r="E188" s="75"/>
      <c r="F188" s="79"/>
      <c r="G188" s="80"/>
    </row>
    <row r="189" spans="1:7" x14ac:dyDescent="0.25">
      <c r="A189" s="67"/>
      <c r="B189" s="77"/>
      <c r="C189" s="78"/>
      <c r="D189" s="78"/>
      <c r="E189" s="75"/>
      <c r="F189" s="79"/>
      <c r="G189" s="80"/>
    </row>
    <row r="190" spans="1:7" x14ac:dyDescent="0.25">
      <c r="A190" s="67"/>
      <c r="B190" s="77"/>
      <c r="C190" s="78"/>
      <c r="D190" s="78"/>
      <c r="E190" s="75"/>
      <c r="F190" s="79"/>
      <c r="G190" s="80"/>
    </row>
    <row r="191" spans="1:7" x14ac:dyDescent="0.25">
      <c r="A191" s="67"/>
      <c r="B191" s="77"/>
      <c r="C191" s="78"/>
      <c r="D191" s="78"/>
      <c r="E191" s="75"/>
      <c r="F191" s="79"/>
      <c r="G191" s="80"/>
    </row>
    <row r="192" spans="1:7" x14ac:dyDescent="0.25">
      <c r="A192" s="67"/>
      <c r="B192" s="77"/>
      <c r="C192" s="78"/>
      <c r="D192" s="78"/>
      <c r="E192" s="75"/>
      <c r="F192" s="79"/>
      <c r="G192" s="80"/>
    </row>
    <row r="193" spans="1:7" x14ac:dyDescent="0.25">
      <c r="A193" s="67"/>
      <c r="B193" s="77"/>
      <c r="C193" s="78"/>
      <c r="D193" s="78"/>
      <c r="E193" s="75"/>
      <c r="F193" s="79"/>
      <c r="G193" s="80"/>
    </row>
    <row r="194" spans="1:7" x14ac:dyDescent="0.25">
      <c r="A194" s="67"/>
      <c r="B194" s="77"/>
      <c r="C194" s="78"/>
      <c r="D194" s="78"/>
      <c r="E194" s="75"/>
      <c r="F194" s="79"/>
      <c r="G194" s="80"/>
    </row>
    <row r="195" spans="1:7" x14ac:dyDescent="0.25">
      <c r="A195" s="67"/>
      <c r="B195" s="77"/>
      <c r="C195" s="78"/>
      <c r="D195" s="78"/>
      <c r="E195" s="75"/>
      <c r="F195" s="79"/>
      <c r="G195" s="80"/>
    </row>
    <row r="196" spans="1:7" x14ac:dyDescent="0.25">
      <c r="A196" s="67"/>
      <c r="B196" s="77"/>
      <c r="C196" s="78"/>
      <c r="D196" s="78"/>
      <c r="E196" s="75"/>
      <c r="F196" s="79"/>
      <c r="G196" s="80"/>
    </row>
    <row r="197" spans="1:7" x14ac:dyDescent="0.25">
      <c r="A197" s="67"/>
      <c r="B197" s="77"/>
      <c r="C197" s="78"/>
      <c r="D197" s="78"/>
      <c r="E197" s="75"/>
      <c r="F197" s="79"/>
      <c r="G197" s="80"/>
    </row>
    <row r="198" spans="1:7" x14ac:dyDescent="0.25">
      <c r="A198" s="67"/>
      <c r="B198" s="77"/>
      <c r="C198" s="78"/>
      <c r="D198" s="78"/>
      <c r="E198" s="75"/>
      <c r="F198" s="79"/>
      <c r="G198" s="80"/>
    </row>
    <row r="199" spans="1:7" x14ac:dyDescent="0.25">
      <c r="A199" s="67"/>
      <c r="B199" s="77"/>
      <c r="C199" s="78"/>
      <c r="D199" s="78"/>
      <c r="E199" s="75"/>
      <c r="F199" s="79"/>
      <c r="G199" s="80"/>
    </row>
    <row r="200" spans="1:7" x14ac:dyDescent="0.25">
      <c r="A200" s="67"/>
      <c r="B200" s="77"/>
      <c r="C200" s="78"/>
      <c r="D200" s="78"/>
      <c r="E200" s="75"/>
      <c r="F200" s="79"/>
      <c r="G200" s="80"/>
    </row>
    <row r="201" spans="1:7" x14ac:dyDescent="0.25">
      <c r="A201" s="67"/>
      <c r="B201" s="77"/>
      <c r="C201" s="78"/>
      <c r="D201" s="78"/>
      <c r="E201" s="75"/>
      <c r="F201" s="79"/>
      <c r="G201" s="80"/>
    </row>
    <row r="202" spans="1:7" x14ac:dyDescent="0.25">
      <c r="A202" s="67"/>
      <c r="B202" s="77"/>
      <c r="C202" s="78"/>
      <c r="D202" s="78"/>
      <c r="E202" s="75"/>
      <c r="F202" s="79"/>
      <c r="G202" s="80"/>
    </row>
    <row r="203" spans="1:7" x14ac:dyDescent="0.25">
      <c r="A203" s="67"/>
      <c r="B203" s="77"/>
      <c r="C203" s="78"/>
      <c r="D203" s="78"/>
      <c r="E203" s="75"/>
      <c r="F203" s="79"/>
      <c r="G203" s="80"/>
    </row>
    <row r="204" spans="1:7" x14ac:dyDescent="0.25">
      <c r="A204" s="67"/>
      <c r="B204" s="77"/>
      <c r="C204" s="78"/>
      <c r="D204" s="78"/>
      <c r="E204" s="75"/>
      <c r="F204" s="79"/>
      <c r="G204" s="80"/>
    </row>
    <row r="205" spans="1:7" x14ac:dyDescent="0.25">
      <c r="A205" s="67"/>
      <c r="B205" s="77"/>
      <c r="C205" s="78"/>
      <c r="D205" s="78"/>
      <c r="E205" s="75"/>
      <c r="F205" s="79"/>
      <c r="G205" s="80"/>
    </row>
    <row r="206" spans="1:7" x14ac:dyDescent="0.25">
      <c r="A206" s="67"/>
      <c r="B206" s="77"/>
      <c r="C206" s="78"/>
      <c r="D206" s="78"/>
      <c r="E206" s="75"/>
      <c r="F206" s="79"/>
      <c r="G206" s="80"/>
    </row>
    <row r="207" spans="1:7" x14ac:dyDescent="0.25">
      <c r="A207" s="67"/>
      <c r="B207" s="77"/>
      <c r="C207" s="78"/>
      <c r="D207" s="78"/>
      <c r="E207" s="75"/>
      <c r="F207" s="79"/>
      <c r="G207" s="80"/>
    </row>
    <row r="208" spans="1:7" x14ac:dyDescent="0.25">
      <c r="A208" s="67"/>
      <c r="B208" s="77"/>
      <c r="C208" s="78"/>
      <c r="D208" s="78"/>
      <c r="E208" s="75"/>
      <c r="F208" s="79"/>
      <c r="G208" s="80"/>
    </row>
    <row r="209" spans="1:7" x14ac:dyDescent="0.25">
      <c r="A209" s="67"/>
      <c r="B209" s="77"/>
      <c r="C209" s="78"/>
      <c r="D209" s="78"/>
      <c r="E209" s="75"/>
      <c r="F209" s="79"/>
      <c r="G209" s="80"/>
    </row>
    <row r="210" spans="1:7" x14ac:dyDescent="0.25">
      <c r="A210" s="67"/>
      <c r="B210" s="77"/>
      <c r="C210" s="78"/>
      <c r="D210" s="78"/>
      <c r="E210" s="75"/>
      <c r="F210" s="79"/>
      <c r="G210" s="80"/>
    </row>
    <row r="211" spans="1:7" x14ac:dyDescent="0.25">
      <c r="A211" s="67"/>
      <c r="B211" s="77"/>
      <c r="C211" s="78"/>
      <c r="D211" s="78"/>
      <c r="E211" s="75"/>
      <c r="F211" s="79"/>
      <c r="G211" s="80"/>
    </row>
    <row r="212" spans="1:7" x14ac:dyDescent="0.25">
      <c r="A212" s="67"/>
      <c r="B212" s="77"/>
      <c r="C212" s="78"/>
      <c r="D212" s="78"/>
      <c r="E212" s="75"/>
      <c r="F212" s="79"/>
      <c r="G212" s="80"/>
    </row>
    <row r="213" spans="1:7" x14ac:dyDescent="0.25">
      <c r="A213" s="67"/>
      <c r="B213" s="77"/>
      <c r="C213" s="78"/>
      <c r="D213" s="78"/>
      <c r="E213" s="75"/>
      <c r="F213" s="79"/>
      <c r="G213" s="80"/>
    </row>
    <row r="214" spans="1:7" x14ac:dyDescent="0.25">
      <c r="A214" s="67"/>
      <c r="B214" s="77"/>
      <c r="C214" s="78"/>
      <c r="D214" s="78"/>
      <c r="E214" s="75"/>
      <c r="F214" s="79"/>
      <c r="G214" s="80"/>
    </row>
    <row r="215" spans="1:7" x14ac:dyDescent="0.25">
      <c r="A215" s="67"/>
      <c r="B215" s="77"/>
      <c r="C215" s="78"/>
      <c r="D215" s="78"/>
      <c r="E215" s="75"/>
      <c r="F215" s="79"/>
      <c r="G215" s="80"/>
    </row>
    <row r="216" spans="1:7" x14ac:dyDescent="0.25">
      <c r="A216" s="67"/>
      <c r="B216" s="77"/>
      <c r="C216" s="78"/>
      <c r="D216" s="78"/>
      <c r="E216" s="75"/>
      <c r="F216" s="79"/>
      <c r="G216" s="80"/>
    </row>
    <row r="217" spans="1:7" x14ac:dyDescent="0.25">
      <c r="A217" s="67"/>
      <c r="B217" s="77"/>
      <c r="C217" s="78"/>
      <c r="D217" s="78"/>
      <c r="E217" s="75"/>
      <c r="F217" s="79"/>
      <c r="G217" s="80"/>
    </row>
    <row r="218" spans="1:7" x14ac:dyDescent="0.25">
      <c r="A218" s="67"/>
      <c r="B218" s="77"/>
      <c r="C218" s="78"/>
      <c r="D218" s="78"/>
      <c r="E218" s="75"/>
      <c r="F218" s="79"/>
      <c r="G218" s="80"/>
    </row>
    <row r="219" spans="1:7" x14ac:dyDescent="0.25">
      <c r="A219" s="67"/>
      <c r="B219" s="77"/>
      <c r="C219" s="78"/>
      <c r="D219" s="78"/>
      <c r="E219" s="75"/>
      <c r="F219" s="79"/>
      <c r="G219" s="80"/>
    </row>
    <row r="220" spans="1:7" x14ac:dyDescent="0.25">
      <c r="A220" s="67"/>
      <c r="B220" s="77"/>
      <c r="C220" s="78"/>
      <c r="D220" s="78"/>
      <c r="E220" s="75"/>
      <c r="F220" s="79"/>
      <c r="G220" s="80"/>
    </row>
    <row r="221" spans="1:7" x14ac:dyDescent="0.25">
      <c r="A221" s="67"/>
      <c r="B221" s="77"/>
      <c r="C221" s="78"/>
      <c r="D221" s="78"/>
      <c r="E221" s="75"/>
      <c r="F221" s="79"/>
      <c r="G221" s="80"/>
    </row>
    <row r="222" spans="1:7" x14ac:dyDescent="0.25">
      <c r="A222" s="67"/>
      <c r="B222" s="77"/>
      <c r="C222" s="78"/>
      <c r="D222" s="78"/>
      <c r="E222" s="75"/>
      <c r="F222" s="79"/>
      <c r="G222" s="80"/>
    </row>
    <row r="223" spans="1:7" x14ac:dyDescent="0.25">
      <c r="A223" s="67"/>
      <c r="B223" s="77"/>
      <c r="C223" s="78"/>
      <c r="D223" s="78"/>
      <c r="E223" s="75"/>
      <c r="F223" s="79"/>
      <c r="G223" s="80"/>
    </row>
    <row r="224" spans="1:7" x14ac:dyDescent="0.25">
      <c r="A224" s="67"/>
      <c r="B224" s="77"/>
      <c r="C224" s="78"/>
      <c r="D224" s="78"/>
      <c r="E224" s="75"/>
      <c r="F224" s="79"/>
      <c r="G224" s="80"/>
    </row>
    <row r="225" spans="1:7" x14ac:dyDescent="0.25">
      <c r="A225" s="67"/>
      <c r="B225" s="77"/>
      <c r="C225" s="78"/>
      <c r="D225" s="78"/>
      <c r="E225" s="75"/>
      <c r="F225" s="79"/>
      <c r="G225" s="80"/>
    </row>
    <row r="226" spans="1:7" x14ac:dyDescent="0.25">
      <c r="A226" s="67"/>
      <c r="B226" s="77"/>
      <c r="C226" s="78"/>
      <c r="D226" s="78"/>
      <c r="E226" s="75"/>
      <c r="F226" s="79"/>
      <c r="G226" s="80"/>
    </row>
    <row r="227" spans="1:7" x14ac:dyDescent="0.25">
      <c r="A227" s="67"/>
      <c r="B227" s="77"/>
      <c r="C227" s="78"/>
      <c r="D227" s="78"/>
      <c r="E227" s="75"/>
      <c r="F227" s="79"/>
      <c r="G227" s="80"/>
    </row>
    <row r="228" spans="1:7" x14ac:dyDescent="0.25">
      <c r="A228" s="67"/>
      <c r="B228" s="77"/>
      <c r="C228" s="78"/>
      <c r="D228" s="78"/>
      <c r="E228" s="75"/>
      <c r="F228" s="79"/>
      <c r="G228" s="80"/>
    </row>
    <row r="229" spans="1:7" x14ac:dyDescent="0.25">
      <c r="A229" s="67"/>
      <c r="B229" s="77"/>
      <c r="C229" s="78"/>
      <c r="D229" s="78"/>
      <c r="E229" s="75"/>
      <c r="F229" s="79"/>
      <c r="G229" s="80"/>
    </row>
    <row r="230" spans="1:7" x14ac:dyDescent="0.25">
      <c r="A230" s="67"/>
      <c r="B230" s="77"/>
      <c r="C230" s="78"/>
      <c r="D230" s="78"/>
      <c r="E230" s="75"/>
      <c r="F230" s="79"/>
      <c r="G230" s="80"/>
    </row>
    <row r="231" spans="1:7" x14ac:dyDescent="0.25">
      <c r="A231" s="67"/>
      <c r="B231" s="77"/>
      <c r="C231" s="78"/>
      <c r="D231" s="78"/>
      <c r="E231" s="75"/>
      <c r="F231" s="79"/>
      <c r="G231" s="80"/>
    </row>
    <row r="232" spans="1:7" x14ac:dyDescent="0.25">
      <c r="A232" s="67"/>
      <c r="B232" s="77"/>
      <c r="C232" s="78"/>
      <c r="D232" s="78"/>
      <c r="E232" s="75"/>
      <c r="F232" s="79"/>
      <c r="G232" s="80"/>
    </row>
    <row r="233" spans="1:7" x14ac:dyDescent="0.25">
      <c r="A233" s="67"/>
      <c r="B233" s="77"/>
      <c r="C233" s="78"/>
      <c r="D233" s="78"/>
      <c r="E233" s="75"/>
      <c r="F233" s="79"/>
      <c r="G233" s="80"/>
    </row>
    <row r="234" spans="1:7" x14ac:dyDescent="0.25">
      <c r="A234" s="67"/>
      <c r="B234" s="77"/>
      <c r="C234" s="78"/>
      <c r="D234" s="78"/>
      <c r="E234" s="75"/>
      <c r="F234" s="79"/>
      <c r="G234" s="80"/>
    </row>
    <row r="235" spans="1:7" x14ac:dyDescent="0.25">
      <c r="A235" s="67"/>
      <c r="B235" s="77"/>
      <c r="C235" s="78"/>
      <c r="D235" s="78"/>
      <c r="E235" s="75"/>
      <c r="F235" s="79"/>
      <c r="G235" s="80"/>
    </row>
    <row r="236" spans="1:7" x14ac:dyDescent="0.25">
      <c r="A236" s="67"/>
      <c r="B236" s="77"/>
      <c r="C236" s="78"/>
      <c r="D236" s="78"/>
      <c r="E236" s="75"/>
      <c r="F236" s="79"/>
      <c r="G236" s="80"/>
    </row>
    <row r="237" spans="1:7" x14ac:dyDescent="0.25">
      <c r="A237" s="67"/>
      <c r="B237" s="77"/>
      <c r="C237" s="78"/>
      <c r="D237" s="78"/>
      <c r="E237" s="75"/>
      <c r="F237" s="79"/>
      <c r="G237" s="80"/>
    </row>
    <row r="238" spans="1:7" x14ac:dyDescent="0.25">
      <c r="A238" s="67"/>
      <c r="B238" s="77"/>
      <c r="C238" s="78"/>
      <c r="D238" s="78"/>
      <c r="E238" s="75"/>
      <c r="F238" s="79"/>
      <c r="G238" s="80"/>
    </row>
    <row r="239" spans="1:7" x14ac:dyDescent="0.25">
      <c r="A239" s="67"/>
      <c r="B239" s="77"/>
      <c r="C239" s="78"/>
      <c r="D239" s="78"/>
      <c r="E239" s="75"/>
      <c r="F239" s="79"/>
      <c r="G239" s="80"/>
    </row>
    <row r="240" spans="1:7" x14ac:dyDescent="0.25">
      <c r="A240" s="67"/>
      <c r="B240" s="77"/>
      <c r="C240" s="78"/>
      <c r="D240" s="78"/>
      <c r="E240" s="75"/>
      <c r="F240" s="79"/>
      <c r="G240" s="80"/>
    </row>
    <row r="241" spans="1:7" x14ac:dyDescent="0.25">
      <c r="A241" s="67"/>
      <c r="B241" s="77"/>
      <c r="C241" s="78"/>
      <c r="D241" s="78"/>
      <c r="E241" s="75"/>
      <c r="F241" s="79"/>
      <c r="G241" s="80"/>
    </row>
    <row r="242" spans="1:7" x14ac:dyDescent="0.25">
      <c r="A242" s="67"/>
      <c r="B242" s="77"/>
      <c r="C242" s="78"/>
      <c r="D242" s="78"/>
      <c r="E242" s="75"/>
      <c r="F242" s="79"/>
      <c r="G242" s="80"/>
    </row>
    <row r="243" spans="1:7" x14ac:dyDescent="0.25">
      <c r="A243" s="67"/>
      <c r="B243" s="77"/>
      <c r="C243" s="78"/>
      <c r="D243" s="78"/>
      <c r="E243" s="75"/>
      <c r="F243" s="79"/>
      <c r="G243" s="80"/>
    </row>
    <row r="244" spans="1:7" x14ac:dyDescent="0.25">
      <c r="A244" s="67"/>
      <c r="B244" s="77"/>
      <c r="C244" s="78"/>
      <c r="D244" s="78"/>
      <c r="E244" s="75"/>
      <c r="F244" s="79"/>
      <c r="G244" s="80"/>
    </row>
    <row r="245" spans="1:7" x14ac:dyDescent="0.25">
      <c r="A245" s="67"/>
      <c r="B245" s="77"/>
      <c r="C245" s="78"/>
      <c r="D245" s="78"/>
      <c r="E245" s="75"/>
      <c r="F245" s="79"/>
      <c r="G245" s="80"/>
    </row>
    <row r="246" spans="1:7" x14ac:dyDescent="0.25">
      <c r="A246" s="67"/>
      <c r="B246" s="77"/>
      <c r="C246" s="78"/>
      <c r="D246" s="78"/>
      <c r="E246" s="75"/>
      <c r="F246" s="79"/>
      <c r="G246" s="80"/>
    </row>
    <row r="247" spans="1:7" x14ac:dyDescent="0.25">
      <c r="A247" s="67"/>
      <c r="B247" s="77"/>
      <c r="C247" s="78"/>
      <c r="D247" s="78"/>
      <c r="E247" s="75"/>
      <c r="F247" s="79"/>
      <c r="G247" s="80"/>
    </row>
    <row r="248" spans="1:7" x14ac:dyDescent="0.25">
      <c r="A248" s="67"/>
      <c r="B248" s="77"/>
      <c r="C248" s="78"/>
      <c r="D248" s="78"/>
      <c r="E248" s="75"/>
      <c r="F248" s="79"/>
      <c r="G248" s="80"/>
    </row>
    <row r="249" spans="1:7" x14ac:dyDescent="0.25">
      <c r="A249" s="67"/>
      <c r="B249" s="77"/>
      <c r="C249" s="78"/>
      <c r="D249" s="78"/>
      <c r="E249" s="75"/>
      <c r="F249" s="79"/>
      <c r="G249" s="80"/>
    </row>
    <row r="250" spans="1:7" x14ac:dyDescent="0.25">
      <c r="A250" s="67"/>
      <c r="B250" s="77"/>
      <c r="C250" s="78"/>
      <c r="D250" s="78"/>
      <c r="E250" s="75"/>
      <c r="F250" s="79"/>
      <c r="G250" s="80"/>
    </row>
    <row r="251" spans="1:7" x14ac:dyDescent="0.25">
      <c r="A251" s="67"/>
      <c r="B251" s="77"/>
      <c r="C251" s="78"/>
      <c r="D251" s="78"/>
      <c r="E251" s="75"/>
      <c r="F251" s="79"/>
      <c r="G251" s="80"/>
    </row>
    <row r="252" spans="1:7" x14ac:dyDescent="0.25">
      <c r="A252" s="67"/>
      <c r="B252" s="77"/>
      <c r="C252" s="78"/>
      <c r="D252" s="78"/>
      <c r="E252" s="75"/>
      <c r="F252" s="79"/>
      <c r="G252" s="80"/>
    </row>
    <row r="253" spans="1:7" x14ac:dyDescent="0.25">
      <c r="A253" s="67"/>
      <c r="B253" s="77"/>
      <c r="C253" s="78"/>
      <c r="D253" s="78"/>
      <c r="E253" s="75"/>
      <c r="F253" s="79"/>
      <c r="G253" s="80"/>
    </row>
    <row r="254" spans="1:7" x14ac:dyDescent="0.25">
      <c r="A254" s="67"/>
      <c r="B254" s="77"/>
      <c r="C254" s="78"/>
      <c r="D254" s="78"/>
      <c r="E254" s="75"/>
      <c r="F254" s="79"/>
      <c r="G254" s="80"/>
    </row>
    <row r="255" spans="1:7" x14ac:dyDescent="0.25">
      <c r="A255" s="67"/>
      <c r="B255" s="77"/>
      <c r="C255" s="78"/>
      <c r="D255" s="78"/>
      <c r="E255" s="75"/>
      <c r="F255" s="79"/>
      <c r="G255" s="80"/>
    </row>
    <row r="256" spans="1:7" x14ac:dyDescent="0.25">
      <c r="A256" s="67"/>
      <c r="B256" s="77"/>
      <c r="C256" s="78"/>
      <c r="D256" s="78"/>
      <c r="E256" s="75"/>
      <c r="F256" s="79"/>
      <c r="G256" s="80"/>
    </row>
    <row r="257" spans="1:7" x14ac:dyDescent="0.25">
      <c r="A257" s="67"/>
      <c r="B257" s="77"/>
      <c r="C257" s="78"/>
      <c r="D257" s="78"/>
      <c r="E257" s="75"/>
      <c r="F257" s="79"/>
      <c r="G257" s="80"/>
    </row>
    <row r="258" spans="1:7" x14ac:dyDescent="0.25">
      <c r="A258" s="67"/>
      <c r="B258" s="77"/>
      <c r="C258" s="78"/>
      <c r="D258" s="78"/>
      <c r="E258" s="75"/>
      <c r="F258" s="79"/>
      <c r="G258" s="80"/>
    </row>
    <row r="259" spans="1:7" x14ac:dyDescent="0.25">
      <c r="A259" s="67"/>
      <c r="B259" s="77"/>
      <c r="C259" s="78"/>
      <c r="D259" s="78"/>
      <c r="E259" s="75"/>
      <c r="F259" s="79"/>
      <c r="G259" s="80"/>
    </row>
    <row r="260" spans="1:7" ht="15.75" thickBot="1" x14ac:dyDescent="0.3">
      <c r="A260" s="67"/>
      <c r="B260" s="77"/>
      <c r="C260" s="81"/>
      <c r="D260" s="81"/>
      <c r="E260" s="82"/>
      <c r="F260" s="83"/>
      <c r="G260" s="84"/>
    </row>
  </sheetData>
  <mergeCells count="2">
    <mergeCell ref="B1:C9"/>
    <mergeCell ref="D1:D9"/>
  </mergeCells>
  <phoneticPr fontId="6" type="noConversion"/>
  <printOptions verticalCentered="1"/>
  <pageMargins left="0.31496062992125984" right="0.31496062992125984" top="0.19685039370078741" bottom="0.39370078740157483" header="0.11811023622047245" footer="0.19685039370078741"/>
  <pageSetup paperSize="9" scale="7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B20A-D027-4490-9383-39D3AC5E5082}">
  <sheetPr codeName="Sheet2"/>
  <dimension ref="A1:CU268"/>
  <sheetViews>
    <sheetView zoomScale="110" zoomScaleNormal="110" workbookViewId="0">
      <selection activeCell="I12" sqref="I12"/>
    </sheetView>
  </sheetViews>
  <sheetFormatPr defaultRowHeight="15" x14ac:dyDescent="0.25"/>
  <cols>
    <col min="1" max="1" width="9.140625" style="67"/>
    <col min="2" max="2" width="26.140625" style="114" bestFit="1" customWidth="1"/>
    <col min="3" max="3" width="10.7109375" style="67" bestFit="1" customWidth="1"/>
    <col min="4" max="4" width="68.5703125" style="67" customWidth="1"/>
    <col min="5" max="5" width="9.5703125" style="115" bestFit="1" customWidth="1"/>
    <col min="6" max="6" width="14.5703125" style="116" bestFit="1" customWidth="1"/>
    <col min="7" max="7" width="13.5703125" style="117" bestFit="1" customWidth="1"/>
    <col min="8" max="99" width="9.140625" style="67"/>
  </cols>
  <sheetData>
    <row r="1" spans="2:7" ht="19.5" customHeight="1" x14ac:dyDescent="0.25">
      <c r="B1" s="85"/>
      <c r="C1" s="86"/>
      <c r="D1" s="152" t="s">
        <v>109</v>
      </c>
      <c r="E1" s="87"/>
      <c r="F1" s="88"/>
      <c r="G1" s="89"/>
    </row>
    <row r="2" spans="2:7" ht="15" customHeight="1" x14ac:dyDescent="0.25">
      <c r="B2" s="90"/>
      <c r="C2" s="91"/>
      <c r="D2" s="153"/>
      <c r="E2" s="92"/>
      <c r="F2" s="93"/>
      <c r="G2" s="94"/>
    </row>
    <row r="3" spans="2:7" ht="15" customHeight="1" x14ac:dyDescent="0.25">
      <c r="B3" s="90"/>
      <c r="C3" s="91"/>
      <c r="D3" s="153"/>
      <c r="E3" s="92"/>
      <c r="F3" s="93"/>
      <c r="G3" s="94"/>
    </row>
    <row r="4" spans="2:7" ht="15" customHeight="1" x14ac:dyDescent="0.25">
      <c r="B4" s="90"/>
      <c r="C4" s="91"/>
      <c r="D4" s="153"/>
      <c r="E4" s="92"/>
      <c r="F4" s="93"/>
      <c r="G4" s="94"/>
    </row>
    <row r="5" spans="2:7" ht="15" customHeight="1" x14ac:dyDescent="0.25">
      <c r="B5" s="90"/>
      <c r="C5" s="91"/>
      <c r="D5" s="153"/>
      <c r="E5" s="92"/>
      <c r="F5" s="93"/>
      <c r="G5" s="94"/>
    </row>
    <row r="6" spans="2:7" ht="18.75" x14ac:dyDescent="0.3">
      <c r="B6" s="90"/>
      <c r="C6" s="91"/>
      <c r="D6" s="153"/>
      <c r="E6" s="92"/>
      <c r="F6" s="95"/>
      <c r="G6" s="94"/>
    </row>
    <row r="7" spans="2:7" ht="15" customHeight="1" x14ac:dyDescent="0.25">
      <c r="B7" s="90"/>
      <c r="C7" s="91"/>
      <c r="D7" s="153"/>
      <c r="E7" s="92"/>
      <c r="F7" s="93"/>
      <c r="G7" s="94"/>
    </row>
    <row r="8" spans="2:7" ht="15" customHeight="1" x14ac:dyDescent="0.25">
      <c r="B8" s="90"/>
      <c r="C8" s="91"/>
      <c r="D8" s="153"/>
      <c r="E8" s="92"/>
      <c r="F8" s="93"/>
      <c r="G8" s="94"/>
    </row>
    <row r="9" spans="2:7" ht="15" customHeight="1" x14ac:dyDescent="0.25">
      <c r="B9" s="90"/>
      <c r="C9" s="91"/>
      <c r="D9" s="153"/>
      <c r="E9" s="92"/>
      <c r="F9" s="93"/>
      <c r="G9" s="94"/>
    </row>
    <row r="10" spans="2:7" ht="15.75" customHeight="1" thickBot="1" x14ac:dyDescent="0.3">
      <c r="B10" s="96"/>
      <c r="C10" s="97"/>
      <c r="D10" s="97"/>
      <c r="E10" s="92"/>
      <c r="F10" s="93"/>
      <c r="G10" s="94"/>
    </row>
    <row r="11" spans="2:7" ht="18.75" customHeight="1" thickBot="1" x14ac:dyDescent="0.35">
      <c r="B11" s="98" t="s">
        <v>0</v>
      </c>
      <c r="C11" s="99" t="s">
        <v>5</v>
      </c>
      <c r="D11" s="99" t="s">
        <v>1</v>
      </c>
      <c r="E11" s="100" t="s">
        <v>2</v>
      </c>
      <c r="F11" s="101" t="s">
        <v>3</v>
      </c>
      <c r="G11" s="102" t="s">
        <v>4</v>
      </c>
    </row>
    <row r="12" spans="2:7" ht="19.5" customHeight="1" x14ac:dyDescent="0.3">
      <c r="B12" s="103"/>
      <c r="C12" s="104"/>
      <c r="D12" s="104"/>
      <c r="E12" s="105"/>
      <c r="F12" s="106"/>
      <c r="G12" s="107">
        <v>896269</v>
      </c>
    </row>
    <row r="13" spans="2:7" s="67" customFormat="1" ht="15" customHeight="1" x14ac:dyDescent="0.25">
      <c r="B13" s="69">
        <v>44537</v>
      </c>
      <c r="C13" s="70">
        <v>51</v>
      </c>
      <c r="D13" s="71" t="s">
        <v>47</v>
      </c>
      <c r="E13" s="72">
        <v>64960</v>
      </c>
      <c r="F13" s="108"/>
      <c r="G13" s="76">
        <f t="shared" ref="G13:G16" si="0">G12+E13-F13</f>
        <v>961229</v>
      </c>
    </row>
    <row r="14" spans="2:7" s="67" customFormat="1" ht="15" customHeight="1" x14ac:dyDescent="0.25">
      <c r="B14" s="69">
        <v>44537</v>
      </c>
      <c r="C14" s="70">
        <v>51</v>
      </c>
      <c r="D14" s="71" t="s">
        <v>48</v>
      </c>
      <c r="E14" s="72">
        <v>10000</v>
      </c>
      <c r="F14" s="108"/>
      <c r="G14" s="76">
        <f t="shared" si="0"/>
        <v>971229</v>
      </c>
    </row>
    <row r="15" spans="2:7" s="67" customFormat="1" ht="15" customHeight="1" x14ac:dyDescent="0.25">
      <c r="B15" s="69">
        <v>44507</v>
      </c>
      <c r="C15" s="70">
        <v>52</v>
      </c>
      <c r="D15" s="71" t="s">
        <v>49</v>
      </c>
      <c r="E15" s="72">
        <v>83520</v>
      </c>
      <c r="F15" s="108"/>
      <c r="G15" s="76">
        <f t="shared" si="0"/>
        <v>1054749</v>
      </c>
    </row>
    <row r="16" spans="2:7" s="67" customFormat="1" ht="15" customHeight="1" x14ac:dyDescent="0.25">
      <c r="B16" s="69">
        <v>44507</v>
      </c>
      <c r="C16" s="70">
        <v>52</v>
      </c>
      <c r="D16" s="71" t="s">
        <v>50</v>
      </c>
      <c r="E16" s="72">
        <v>10000</v>
      </c>
      <c r="F16" s="108"/>
      <c r="G16" s="76">
        <f t="shared" si="0"/>
        <v>1064749</v>
      </c>
    </row>
    <row r="17" spans="2:7" s="67" customFormat="1" ht="15" customHeight="1" x14ac:dyDescent="0.25">
      <c r="B17" s="109" t="s">
        <v>55</v>
      </c>
      <c r="C17" s="110">
        <v>56</v>
      </c>
      <c r="D17" s="111" t="s">
        <v>54</v>
      </c>
      <c r="E17" s="112">
        <v>111180</v>
      </c>
      <c r="F17" s="108"/>
      <c r="G17" s="76">
        <f>G16+E17-F17</f>
        <v>1175929</v>
      </c>
    </row>
    <row r="18" spans="2:7" s="67" customFormat="1" ht="15" customHeight="1" x14ac:dyDescent="0.25">
      <c r="B18" s="69" t="s">
        <v>53</v>
      </c>
      <c r="C18" s="70">
        <v>57</v>
      </c>
      <c r="D18" s="71" t="s">
        <v>113</v>
      </c>
      <c r="E18" s="72">
        <v>15812</v>
      </c>
      <c r="F18" s="73"/>
      <c r="G18" s="74">
        <f>G17+E18-F18</f>
        <v>1191741</v>
      </c>
    </row>
    <row r="19" spans="2:7" s="67" customFormat="1" ht="15" customHeight="1" x14ac:dyDescent="0.25">
      <c r="B19" s="69" t="s">
        <v>53</v>
      </c>
      <c r="C19" s="70">
        <v>58</v>
      </c>
      <c r="D19" s="71" t="s">
        <v>56</v>
      </c>
      <c r="E19" s="72">
        <v>15812</v>
      </c>
      <c r="F19" s="73"/>
      <c r="G19" s="74">
        <f t="shared" ref="G19:G36" si="1">G18+E19-F19</f>
        <v>1207553</v>
      </c>
    </row>
    <row r="20" spans="2:7" s="67" customFormat="1" ht="15" customHeight="1" x14ac:dyDescent="0.25">
      <c r="B20" s="69" t="s">
        <v>53</v>
      </c>
      <c r="C20" s="70">
        <v>59</v>
      </c>
      <c r="D20" s="71" t="s">
        <v>57</v>
      </c>
      <c r="E20" s="72">
        <v>20475</v>
      </c>
      <c r="F20" s="73"/>
      <c r="G20" s="74">
        <f t="shared" si="1"/>
        <v>1228028</v>
      </c>
    </row>
    <row r="21" spans="2:7" s="67" customFormat="1" ht="15" customHeight="1" x14ac:dyDescent="0.25">
      <c r="B21" s="69" t="s">
        <v>53</v>
      </c>
      <c r="C21" s="70">
        <v>59</v>
      </c>
      <c r="D21" s="71" t="s">
        <v>58</v>
      </c>
      <c r="E21" s="72">
        <v>1980</v>
      </c>
      <c r="F21" s="73"/>
      <c r="G21" s="74">
        <f t="shared" si="1"/>
        <v>1230008</v>
      </c>
    </row>
    <row r="22" spans="2:7" s="67" customFormat="1" ht="15" customHeight="1" x14ac:dyDescent="0.25">
      <c r="B22" s="69" t="s">
        <v>53</v>
      </c>
      <c r="C22" s="70">
        <v>55</v>
      </c>
      <c r="D22" s="71" t="s">
        <v>59</v>
      </c>
      <c r="E22" s="72">
        <v>127360</v>
      </c>
      <c r="F22" s="73"/>
      <c r="G22" s="74">
        <f>G21+E22-F22</f>
        <v>1357368</v>
      </c>
    </row>
    <row r="23" spans="2:7" s="67" customFormat="1" ht="15" customHeight="1" x14ac:dyDescent="0.25">
      <c r="B23" s="69" t="s">
        <v>53</v>
      </c>
      <c r="C23" s="70">
        <v>55</v>
      </c>
      <c r="D23" s="71" t="s">
        <v>60</v>
      </c>
      <c r="E23" s="72">
        <v>10000</v>
      </c>
      <c r="F23" s="73"/>
      <c r="G23" s="74">
        <f t="shared" si="1"/>
        <v>1367368</v>
      </c>
    </row>
    <row r="24" spans="2:7" s="67" customFormat="1" ht="15" customHeight="1" x14ac:dyDescent="0.25">
      <c r="B24" s="69" t="s">
        <v>53</v>
      </c>
      <c r="C24" s="70"/>
      <c r="D24" s="71" t="s">
        <v>114</v>
      </c>
      <c r="E24" s="72"/>
      <c r="F24" s="73">
        <v>100000</v>
      </c>
      <c r="G24" s="74">
        <f t="shared" si="1"/>
        <v>1267368</v>
      </c>
    </row>
    <row r="25" spans="2:7" s="67" customFormat="1" ht="15" customHeight="1" x14ac:dyDescent="0.25">
      <c r="B25" s="69">
        <v>44537</v>
      </c>
      <c r="C25" s="70">
        <v>53</v>
      </c>
      <c r="D25" s="71" t="s">
        <v>61</v>
      </c>
      <c r="E25" s="72">
        <v>32550</v>
      </c>
      <c r="F25" s="73"/>
      <c r="G25" s="74">
        <f t="shared" si="1"/>
        <v>1299918</v>
      </c>
    </row>
    <row r="26" spans="2:7" s="67" customFormat="1" ht="15" customHeight="1" x14ac:dyDescent="0.25">
      <c r="B26" s="69">
        <v>44537</v>
      </c>
      <c r="C26" s="70">
        <v>53</v>
      </c>
      <c r="D26" s="71" t="s">
        <v>62</v>
      </c>
      <c r="E26" s="72">
        <v>1650</v>
      </c>
      <c r="F26" s="73"/>
      <c r="G26" s="74">
        <f t="shared" si="1"/>
        <v>1301568</v>
      </c>
    </row>
    <row r="27" spans="2:7" s="67" customFormat="1" ht="15" customHeight="1" x14ac:dyDescent="0.25">
      <c r="B27" s="69" t="s">
        <v>63</v>
      </c>
      <c r="C27" s="70">
        <v>64</v>
      </c>
      <c r="D27" s="71" t="s">
        <v>64</v>
      </c>
      <c r="E27" s="72">
        <v>16240</v>
      </c>
      <c r="F27" s="73"/>
      <c r="G27" s="74">
        <f t="shared" si="1"/>
        <v>1317808</v>
      </c>
    </row>
    <row r="28" spans="2:7" s="67" customFormat="1" ht="15" customHeight="1" x14ac:dyDescent="0.25">
      <c r="B28" s="69" t="s">
        <v>63</v>
      </c>
      <c r="C28" s="70">
        <v>60</v>
      </c>
      <c r="D28" s="71" t="s">
        <v>65</v>
      </c>
      <c r="E28" s="72">
        <v>63680</v>
      </c>
      <c r="F28" s="73"/>
      <c r="G28" s="74">
        <f>G27+E28-F28</f>
        <v>1381488</v>
      </c>
    </row>
    <row r="29" spans="2:7" s="67" customFormat="1" ht="15" customHeight="1" x14ac:dyDescent="0.25">
      <c r="B29" s="69" t="s">
        <v>63</v>
      </c>
      <c r="C29" s="70">
        <v>66</v>
      </c>
      <c r="D29" s="71" t="s">
        <v>66</v>
      </c>
      <c r="E29" s="72">
        <v>75122</v>
      </c>
      <c r="F29" s="73"/>
      <c r="G29" s="74">
        <f t="shared" si="1"/>
        <v>1456610</v>
      </c>
    </row>
    <row r="30" spans="2:7" s="67" customFormat="1" ht="15" customHeight="1" x14ac:dyDescent="0.25">
      <c r="B30" s="69" t="s">
        <v>63</v>
      </c>
      <c r="C30" s="70">
        <v>67</v>
      </c>
      <c r="D30" s="71" t="s">
        <v>67</v>
      </c>
      <c r="E30" s="72">
        <v>41600</v>
      </c>
      <c r="F30" s="73"/>
      <c r="G30" s="74">
        <f t="shared" si="1"/>
        <v>1498210</v>
      </c>
    </row>
    <row r="31" spans="2:7" s="67" customFormat="1" ht="15" customHeight="1" x14ac:dyDescent="0.25">
      <c r="B31" s="69" t="s">
        <v>63</v>
      </c>
      <c r="C31" s="70">
        <v>62</v>
      </c>
      <c r="D31" s="71" t="s">
        <v>68</v>
      </c>
      <c r="E31" s="72">
        <v>32500</v>
      </c>
      <c r="F31" s="73"/>
      <c r="G31" s="74">
        <f t="shared" si="1"/>
        <v>1530710</v>
      </c>
    </row>
    <row r="32" spans="2:7" s="67" customFormat="1" ht="15" customHeight="1" x14ac:dyDescent="0.25">
      <c r="B32" s="69" t="s">
        <v>63</v>
      </c>
      <c r="C32" s="70">
        <v>62</v>
      </c>
      <c r="D32" s="71" t="s">
        <v>69</v>
      </c>
      <c r="E32" s="72">
        <v>3180</v>
      </c>
      <c r="F32" s="73"/>
      <c r="G32" s="74">
        <f t="shared" si="1"/>
        <v>1533890</v>
      </c>
    </row>
    <row r="33" spans="2:7" s="67" customFormat="1" ht="15" customHeight="1" x14ac:dyDescent="0.25">
      <c r="B33" s="69" t="s">
        <v>63</v>
      </c>
      <c r="C33" s="70">
        <v>63</v>
      </c>
      <c r="D33" s="71" t="s">
        <v>70</v>
      </c>
      <c r="E33" s="72">
        <v>166497</v>
      </c>
      <c r="F33" s="73"/>
      <c r="G33" s="74">
        <f t="shared" si="1"/>
        <v>1700387</v>
      </c>
    </row>
    <row r="34" spans="2:7" s="67" customFormat="1" ht="15" customHeight="1" x14ac:dyDescent="0.25">
      <c r="B34" s="69" t="s">
        <v>63</v>
      </c>
      <c r="C34" s="70"/>
      <c r="D34" s="71"/>
      <c r="E34" s="72"/>
      <c r="F34" s="73">
        <v>350000</v>
      </c>
      <c r="G34" s="74">
        <f t="shared" si="1"/>
        <v>1350387</v>
      </c>
    </row>
    <row r="35" spans="2:7" s="67" customFormat="1" ht="15" customHeight="1" x14ac:dyDescent="0.25">
      <c r="B35" s="69" t="s">
        <v>71</v>
      </c>
      <c r="C35" s="70">
        <v>68</v>
      </c>
      <c r="D35" s="71" t="s">
        <v>72</v>
      </c>
      <c r="E35" s="72">
        <v>146092</v>
      </c>
      <c r="F35" s="73"/>
      <c r="G35" s="74">
        <f t="shared" si="1"/>
        <v>1496479</v>
      </c>
    </row>
    <row r="36" spans="2:7" s="67" customFormat="1" ht="15" customHeight="1" x14ac:dyDescent="0.25">
      <c r="B36" s="69" t="s">
        <v>73</v>
      </c>
      <c r="C36" s="70"/>
      <c r="D36" s="71"/>
      <c r="E36" s="72"/>
      <c r="F36" s="73">
        <v>100000</v>
      </c>
      <c r="G36" s="74">
        <f t="shared" si="1"/>
        <v>1396479</v>
      </c>
    </row>
    <row r="37" spans="2:7" s="67" customFormat="1" ht="15" customHeight="1" x14ac:dyDescent="0.25">
      <c r="B37" s="69"/>
      <c r="C37" s="70"/>
      <c r="D37" s="71"/>
      <c r="E37" s="72"/>
      <c r="F37" s="73"/>
      <c r="G37" s="74"/>
    </row>
    <row r="38" spans="2:7" s="67" customFormat="1" ht="15" customHeight="1" x14ac:dyDescent="0.25">
      <c r="B38" s="69"/>
      <c r="C38" s="70"/>
      <c r="D38" s="71"/>
      <c r="E38" s="72"/>
      <c r="F38" s="73"/>
      <c r="G38" s="74"/>
    </row>
    <row r="39" spans="2:7" s="67" customFormat="1" ht="15" customHeight="1" x14ac:dyDescent="0.25">
      <c r="B39" s="69"/>
      <c r="C39" s="70"/>
      <c r="D39" s="71"/>
      <c r="E39" s="72"/>
      <c r="F39" s="73"/>
      <c r="G39" s="74"/>
    </row>
    <row r="40" spans="2:7" s="67" customFormat="1" ht="15" customHeight="1" x14ac:dyDescent="0.25">
      <c r="B40" s="69"/>
      <c r="C40" s="70"/>
      <c r="D40" s="71"/>
      <c r="E40" s="72"/>
      <c r="F40" s="73"/>
      <c r="G40" s="74"/>
    </row>
    <row r="41" spans="2:7" s="67" customFormat="1" ht="15" customHeight="1" x14ac:dyDescent="0.25">
      <c r="B41" s="69"/>
      <c r="C41" s="70"/>
      <c r="D41" s="71"/>
      <c r="E41" s="72"/>
      <c r="F41" s="73"/>
      <c r="G41" s="74"/>
    </row>
    <row r="42" spans="2:7" s="67" customFormat="1" ht="15" customHeight="1" x14ac:dyDescent="0.25">
      <c r="B42" s="69"/>
      <c r="C42" s="70"/>
      <c r="D42" s="71"/>
      <c r="E42" s="72"/>
      <c r="F42" s="73"/>
      <c r="G42" s="74"/>
    </row>
    <row r="43" spans="2:7" s="67" customFormat="1" ht="15" customHeight="1" x14ac:dyDescent="0.25">
      <c r="B43" s="69"/>
      <c r="C43" s="70"/>
      <c r="D43" s="71"/>
      <c r="E43" s="72"/>
      <c r="F43" s="73"/>
      <c r="G43" s="74"/>
    </row>
    <row r="44" spans="2:7" s="67" customFormat="1" ht="15" customHeight="1" x14ac:dyDescent="0.25">
      <c r="B44" s="69"/>
      <c r="C44" s="70"/>
      <c r="D44" s="71"/>
      <c r="E44" s="72"/>
      <c r="F44" s="73"/>
      <c r="G44" s="74"/>
    </row>
    <row r="45" spans="2:7" s="67" customFormat="1" ht="15" customHeight="1" x14ac:dyDescent="0.25">
      <c r="B45" s="69"/>
      <c r="C45" s="70"/>
      <c r="D45" s="71"/>
      <c r="E45" s="72"/>
      <c r="F45" s="73"/>
      <c r="G45" s="74"/>
    </row>
    <row r="46" spans="2:7" s="67" customFormat="1" ht="15" customHeight="1" x14ac:dyDescent="0.25">
      <c r="B46" s="69"/>
      <c r="C46" s="70"/>
      <c r="D46" s="71"/>
      <c r="E46" s="72"/>
      <c r="F46" s="73"/>
      <c r="G46" s="74"/>
    </row>
    <row r="47" spans="2:7" ht="15" customHeight="1" x14ac:dyDescent="0.25">
      <c r="B47" s="69"/>
      <c r="C47" s="70"/>
      <c r="D47" s="71"/>
      <c r="E47" s="72"/>
      <c r="F47" s="73"/>
      <c r="G47" s="74"/>
    </row>
    <row r="48" spans="2:7" ht="15" customHeight="1" x14ac:dyDescent="0.25">
      <c r="B48" s="69"/>
      <c r="C48" s="70"/>
      <c r="D48" s="71"/>
      <c r="E48" s="72"/>
      <c r="F48" s="73"/>
      <c r="G48" s="74"/>
    </row>
    <row r="49" spans="2:7" ht="15" customHeight="1" x14ac:dyDescent="0.25">
      <c r="B49" s="69"/>
      <c r="C49" s="70"/>
      <c r="D49" s="71"/>
      <c r="E49" s="72"/>
      <c r="F49" s="73"/>
      <c r="G49" s="74"/>
    </row>
    <row r="50" spans="2:7" ht="15" customHeight="1" x14ac:dyDescent="0.25">
      <c r="B50" s="69"/>
      <c r="C50" s="70"/>
      <c r="D50" s="71"/>
      <c r="E50" s="72"/>
      <c r="F50" s="73"/>
      <c r="G50" s="74"/>
    </row>
    <row r="51" spans="2:7" ht="15" customHeight="1" x14ac:dyDescent="0.25">
      <c r="B51" s="69"/>
      <c r="C51" s="70"/>
      <c r="D51" s="71"/>
      <c r="E51" s="72"/>
      <c r="F51" s="73"/>
      <c r="G51" s="74"/>
    </row>
    <row r="52" spans="2:7" ht="15" customHeight="1" x14ac:dyDescent="0.25">
      <c r="B52" s="69"/>
      <c r="C52" s="70"/>
      <c r="D52" s="71"/>
      <c r="E52" s="72"/>
      <c r="F52" s="73"/>
      <c r="G52" s="74"/>
    </row>
    <row r="53" spans="2:7" ht="15" customHeight="1" x14ac:dyDescent="0.25">
      <c r="B53" s="69"/>
      <c r="C53" s="70"/>
      <c r="D53" s="71"/>
      <c r="E53" s="72"/>
      <c r="F53" s="73"/>
      <c r="G53" s="74"/>
    </row>
    <row r="54" spans="2:7" ht="15" customHeight="1" x14ac:dyDescent="0.25">
      <c r="B54" s="69"/>
      <c r="C54" s="70"/>
      <c r="D54" s="71"/>
      <c r="E54" s="72"/>
      <c r="F54" s="73"/>
      <c r="G54" s="74"/>
    </row>
    <row r="55" spans="2:7" ht="15" customHeight="1" x14ac:dyDescent="0.25">
      <c r="B55" s="69"/>
      <c r="C55" s="70"/>
      <c r="D55" s="71"/>
      <c r="E55" s="72"/>
      <c r="F55" s="73"/>
      <c r="G55" s="74"/>
    </row>
    <row r="56" spans="2:7" ht="15" customHeight="1" x14ac:dyDescent="0.25">
      <c r="B56" s="69"/>
      <c r="C56" s="70"/>
      <c r="D56" s="71"/>
      <c r="E56" s="72"/>
      <c r="F56" s="73"/>
      <c r="G56" s="74"/>
    </row>
    <row r="57" spans="2:7" ht="15" customHeight="1" x14ac:dyDescent="0.25">
      <c r="B57" s="69"/>
      <c r="C57" s="70"/>
      <c r="D57" s="71"/>
      <c r="E57" s="72"/>
      <c r="F57" s="73"/>
      <c r="G57" s="74"/>
    </row>
    <row r="58" spans="2:7" ht="15" customHeight="1" x14ac:dyDescent="0.25">
      <c r="B58" s="69"/>
      <c r="C58" s="70"/>
      <c r="D58" s="71"/>
      <c r="E58" s="72"/>
      <c r="F58" s="73"/>
      <c r="G58" s="74"/>
    </row>
    <row r="59" spans="2:7" ht="15" customHeight="1" x14ac:dyDescent="0.25">
      <c r="B59" s="69"/>
      <c r="C59" s="70"/>
      <c r="D59" s="71"/>
      <c r="E59" s="72"/>
      <c r="F59" s="73"/>
      <c r="G59" s="74"/>
    </row>
    <row r="60" spans="2:7" ht="15" customHeight="1" x14ac:dyDescent="0.25">
      <c r="B60" s="69"/>
      <c r="C60" s="78"/>
      <c r="D60" s="113"/>
      <c r="E60" s="75"/>
      <c r="F60" s="79"/>
      <c r="G60" s="80"/>
    </row>
    <row r="61" spans="2:7" ht="15" customHeight="1" x14ac:dyDescent="0.25">
      <c r="B61" s="69"/>
      <c r="C61" s="78"/>
      <c r="D61" s="113"/>
      <c r="E61" s="75"/>
      <c r="F61" s="79"/>
      <c r="G61" s="80"/>
    </row>
    <row r="62" spans="2:7" ht="15" customHeight="1" x14ac:dyDescent="0.25">
      <c r="B62" s="77"/>
      <c r="C62" s="78"/>
      <c r="D62" s="113"/>
      <c r="E62" s="75"/>
      <c r="F62" s="79"/>
      <c r="G62" s="80"/>
    </row>
    <row r="63" spans="2:7" ht="15" customHeight="1" x14ac:dyDescent="0.25">
      <c r="B63" s="77"/>
      <c r="C63" s="78"/>
      <c r="D63" s="113"/>
      <c r="E63" s="75"/>
      <c r="F63" s="79"/>
      <c r="G63" s="80"/>
    </row>
    <row r="64" spans="2:7" ht="15" customHeight="1" x14ac:dyDescent="0.25">
      <c r="B64" s="77"/>
      <c r="C64" s="78"/>
      <c r="D64" s="113"/>
      <c r="E64" s="75"/>
      <c r="F64" s="79"/>
      <c r="G64" s="80"/>
    </row>
    <row r="65" spans="2:7" ht="15" customHeight="1" x14ac:dyDescent="0.25">
      <c r="B65" s="77"/>
      <c r="C65" s="78"/>
      <c r="D65" s="113"/>
      <c r="E65" s="75"/>
      <c r="F65" s="79"/>
      <c r="G65" s="80"/>
    </row>
    <row r="66" spans="2:7" ht="15" customHeight="1" x14ac:dyDescent="0.25">
      <c r="B66" s="77"/>
      <c r="C66" s="78"/>
      <c r="D66" s="113"/>
      <c r="E66" s="75"/>
      <c r="F66" s="79"/>
      <c r="G66" s="80"/>
    </row>
    <row r="67" spans="2:7" ht="15" customHeight="1" x14ac:dyDescent="0.25">
      <c r="B67" s="77"/>
      <c r="C67" s="78"/>
      <c r="D67" s="113"/>
      <c r="E67" s="75"/>
      <c r="F67" s="79"/>
      <c r="G67" s="80"/>
    </row>
    <row r="68" spans="2:7" ht="15" customHeight="1" x14ac:dyDescent="0.25">
      <c r="B68" s="77"/>
      <c r="C68" s="78"/>
      <c r="D68" s="113"/>
      <c r="E68" s="75"/>
      <c r="F68" s="79"/>
      <c r="G68" s="80"/>
    </row>
    <row r="69" spans="2:7" ht="15" customHeight="1" x14ac:dyDescent="0.25">
      <c r="B69" s="77"/>
      <c r="C69" s="78"/>
      <c r="D69" s="113"/>
      <c r="E69" s="75"/>
      <c r="F69" s="79"/>
      <c r="G69" s="80"/>
    </row>
    <row r="70" spans="2:7" ht="15" customHeight="1" x14ac:dyDescent="0.25">
      <c r="B70" s="77"/>
      <c r="C70" s="78"/>
      <c r="D70" s="113"/>
      <c r="E70" s="75"/>
      <c r="F70" s="79"/>
      <c r="G70" s="80"/>
    </row>
    <row r="71" spans="2:7" ht="15" customHeight="1" x14ac:dyDescent="0.25">
      <c r="B71" s="77"/>
      <c r="C71" s="78"/>
      <c r="D71" s="113"/>
      <c r="E71" s="75"/>
      <c r="F71" s="79"/>
      <c r="G71" s="80"/>
    </row>
    <row r="72" spans="2:7" ht="15" customHeight="1" x14ac:dyDescent="0.25">
      <c r="B72" s="77"/>
      <c r="C72" s="78"/>
      <c r="D72" s="113"/>
      <c r="E72" s="75"/>
      <c r="F72" s="79"/>
      <c r="G72" s="80"/>
    </row>
    <row r="73" spans="2:7" ht="15" customHeight="1" x14ac:dyDescent="0.25">
      <c r="B73" s="77"/>
      <c r="C73" s="78"/>
      <c r="D73" s="113"/>
      <c r="E73" s="75"/>
      <c r="F73" s="79"/>
      <c r="G73" s="80"/>
    </row>
    <row r="74" spans="2:7" ht="15" customHeight="1" x14ac:dyDescent="0.25">
      <c r="B74" s="77"/>
      <c r="C74" s="78"/>
      <c r="D74" s="113"/>
      <c r="E74" s="75"/>
      <c r="F74" s="79"/>
      <c r="G74" s="80"/>
    </row>
    <row r="75" spans="2:7" ht="15" customHeight="1" x14ac:dyDescent="0.25">
      <c r="B75" s="77"/>
      <c r="C75" s="78"/>
      <c r="D75" s="113"/>
      <c r="E75" s="75"/>
      <c r="F75" s="79"/>
      <c r="G75" s="80"/>
    </row>
    <row r="76" spans="2:7" ht="15" customHeight="1" x14ac:dyDescent="0.25">
      <c r="B76" s="77"/>
      <c r="C76" s="78"/>
      <c r="D76" s="113"/>
      <c r="E76" s="75"/>
      <c r="F76" s="79"/>
      <c r="G76" s="80"/>
    </row>
    <row r="77" spans="2:7" ht="15" customHeight="1" x14ac:dyDescent="0.25">
      <c r="B77" s="77"/>
      <c r="C77" s="78"/>
      <c r="D77" s="113"/>
      <c r="E77" s="75"/>
      <c r="F77" s="79"/>
      <c r="G77" s="80"/>
    </row>
    <row r="78" spans="2:7" ht="15" customHeight="1" x14ac:dyDescent="0.25">
      <c r="B78" s="77"/>
      <c r="C78" s="78"/>
      <c r="D78" s="113"/>
      <c r="E78" s="75"/>
      <c r="F78" s="79"/>
      <c r="G78" s="80"/>
    </row>
    <row r="79" spans="2:7" ht="15" customHeight="1" x14ac:dyDescent="0.25">
      <c r="B79" s="77"/>
      <c r="C79" s="78"/>
      <c r="D79" s="113"/>
      <c r="E79" s="75"/>
      <c r="F79" s="79"/>
      <c r="G79" s="80"/>
    </row>
    <row r="80" spans="2:7" ht="15" customHeight="1" x14ac:dyDescent="0.25">
      <c r="B80" s="77"/>
      <c r="C80" s="78"/>
      <c r="D80" s="113"/>
      <c r="E80" s="75"/>
      <c r="F80" s="79"/>
      <c r="G80" s="80"/>
    </row>
    <row r="81" spans="2:7" ht="15" customHeight="1" x14ac:dyDescent="0.25">
      <c r="B81" s="77"/>
      <c r="C81" s="78"/>
      <c r="D81" s="113"/>
      <c r="E81" s="75"/>
      <c r="F81" s="79"/>
      <c r="G81" s="80"/>
    </row>
    <row r="82" spans="2:7" ht="15" customHeight="1" x14ac:dyDescent="0.25">
      <c r="B82" s="77"/>
      <c r="C82" s="78"/>
      <c r="D82" s="113"/>
      <c r="E82" s="75"/>
      <c r="F82" s="79"/>
      <c r="G82" s="80"/>
    </row>
    <row r="83" spans="2:7" ht="15" customHeight="1" x14ac:dyDescent="0.25">
      <c r="B83" s="77"/>
      <c r="C83" s="78"/>
      <c r="D83" s="113"/>
      <c r="E83" s="75"/>
      <c r="F83" s="79"/>
      <c r="G83" s="80"/>
    </row>
    <row r="84" spans="2:7" ht="15" customHeight="1" x14ac:dyDescent="0.25">
      <c r="B84" s="77"/>
      <c r="C84" s="78"/>
      <c r="D84" s="113"/>
      <c r="E84" s="75"/>
      <c r="F84" s="79"/>
      <c r="G84" s="80"/>
    </row>
    <row r="85" spans="2:7" ht="15" customHeight="1" x14ac:dyDescent="0.25">
      <c r="B85" s="77"/>
      <c r="C85" s="78"/>
      <c r="D85" s="113"/>
      <c r="E85" s="75"/>
      <c r="F85" s="79"/>
      <c r="G85" s="80"/>
    </row>
    <row r="86" spans="2:7" ht="15" customHeight="1" x14ac:dyDescent="0.25">
      <c r="B86" s="77"/>
      <c r="C86" s="78"/>
      <c r="D86" s="113"/>
      <c r="E86" s="75"/>
      <c r="F86" s="79"/>
      <c r="G86" s="80"/>
    </row>
    <row r="87" spans="2:7" ht="15" customHeight="1" x14ac:dyDescent="0.25">
      <c r="B87" s="77"/>
      <c r="C87" s="78"/>
      <c r="D87" s="113"/>
      <c r="E87" s="75"/>
      <c r="F87" s="79"/>
      <c r="G87" s="80"/>
    </row>
    <row r="88" spans="2:7" ht="15" customHeight="1" x14ac:dyDescent="0.25">
      <c r="B88" s="77"/>
      <c r="C88" s="78"/>
      <c r="D88" s="113"/>
      <c r="E88" s="75"/>
      <c r="F88" s="79"/>
      <c r="G88" s="80"/>
    </row>
    <row r="89" spans="2:7" ht="15" customHeight="1" x14ac:dyDescent="0.25">
      <c r="B89" s="77"/>
      <c r="C89" s="78"/>
      <c r="D89" s="113"/>
      <c r="E89" s="75"/>
      <c r="F89" s="79"/>
      <c r="G89" s="80"/>
    </row>
    <row r="90" spans="2:7" ht="15" customHeight="1" x14ac:dyDescent="0.25">
      <c r="B90" s="77"/>
      <c r="C90" s="78"/>
      <c r="D90" s="113"/>
      <c r="E90" s="75"/>
      <c r="F90" s="79"/>
      <c r="G90" s="80"/>
    </row>
    <row r="91" spans="2:7" ht="15" customHeight="1" x14ac:dyDescent="0.25">
      <c r="B91" s="77"/>
      <c r="C91" s="78"/>
      <c r="D91" s="113"/>
      <c r="E91" s="75"/>
      <c r="F91" s="79"/>
      <c r="G91" s="80"/>
    </row>
    <row r="92" spans="2:7" ht="15" customHeight="1" x14ac:dyDescent="0.25">
      <c r="B92" s="77"/>
      <c r="C92" s="78"/>
      <c r="D92" s="113"/>
      <c r="E92" s="75"/>
      <c r="F92" s="79"/>
      <c r="G92" s="80"/>
    </row>
    <row r="93" spans="2:7" ht="15" customHeight="1" x14ac:dyDescent="0.25">
      <c r="B93" s="77"/>
      <c r="C93" s="78"/>
      <c r="D93" s="113"/>
      <c r="E93" s="75"/>
      <c r="F93" s="79"/>
      <c r="G93" s="80"/>
    </row>
    <row r="94" spans="2:7" ht="15" customHeight="1" x14ac:dyDescent="0.25">
      <c r="B94" s="77"/>
      <c r="C94" s="78"/>
      <c r="D94" s="113"/>
      <c r="E94" s="75"/>
      <c r="F94" s="79"/>
      <c r="G94" s="80"/>
    </row>
    <row r="95" spans="2:7" ht="15" customHeight="1" x14ac:dyDescent="0.25">
      <c r="B95" s="77"/>
      <c r="C95" s="78"/>
      <c r="D95" s="113"/>
      <c r="E95" s="75"/>
      <c r="F95" s="79"/>
      <c r="G95" s="80"/>
    </row>
    <row r="96" spans="2:7" ht="15" customHeight="1" x14ac:dyDescent="0.25">
      <c r="B96" s="77"/>
      <c r="C96" s="78"/>
      <c r="D96" s="113"/>
      <c r="E96" s="75"/>
      <c r="F96" s="79"/>
      <c r="G96" s="80"/>
    </row>
    <row r="97" spans="2:7" ht="15" customHeight="1" x14ac:dyDescent="0.25">
      <c r="B97" s="77"/>
      <c r="C97" s="78"/>
      <c r="D97" s="113"/>
      <c r="E97" s="75"/>
      <c r="F97" s="79"/>
      <c r="G97" s="80"/>
    </row>
    <row r="98" spans="2:7" ht="15" customHeight="1" x14ac:dyDescent="0.25">
      <c r="B98" s="77"/>
      <c r="C98" s="78"/>
      <c r="D98" s="113"/>
      <c r="E98" s="75"/>
      <c r="F98" s="79"/>
      <c r="G98" s="80"/>
    </row>
    <row r="99" spans="2:7" ht="15" customHeight="1" x14ac:dyDescent="0.25">
      <c r="B99" s="77"/>
      <c r="C99" s="78"/>
      <c r="D99" s="113"/>
      <c r="E99" s="75"/>
      <c r="F99" s="79"/>
      <c r="G99" s="80"/>
    </row>
    <row r="100" spans="2:7" ht="15" customHeight="1" x14ac:dyDescent="0.25">
      <c r="B100" s="77"/>
      <c r="C100" s="78"/>
      <c r="D100" s="113"/>
      <c r="E100" s="75"/>
      <c r="F100" s="79"/>
      <c r="G100" s="80"/>
    </row>
    <row r="101" spans="2:7" ht="15" customHeight="1" x14ac:dyDescent="0.25">
      <c r="B101" s="77"/>
      <c r="C101" s="78"/>
      <c r="D101" s="113"/>
      <c r="E101" s="75"/>
      <c r="F101" s="79"/>
      <c r="G101" s="80"/>
    </row>
    <row r="102" spans="2:7" ht="15" customHeight="1" x14ac:dyDescent="0.25">
      <c r="B102" s="77"/>
      <c r="C102" s="78"/>
      <c r="D102" s="113"/>
      <c r="E102" s="75"/>
      <c r="F102" s="79"/>
      <c r="G102" s="80"/>
    </row>
    <row r="103" spans="2:7" ht="15" customHeight="1" x14ac:dyDescent="0.25">
      <c r="B103" s="77"/>
      <c r="C103" s="78"/>
      <c r="D103" s="113"/>
      <c r="E103" s="75"/>
      <c r="F103" s="79"/>
      <c r="G103" s="80"/>
    </row>
    <row r="104" spans="2:7" ht="15" customHeight="1" x14ac:dyDescent="0.25">
      <c r="B104" s="77"/>
      <c r="C104" s="78"/>
      <c r="D104" s="113"/>
      <c r="E104" s="75"/>
      <c r="F104" s="79"/>
      <c r="G104" s="80"/>
    </row>
    <row r="105" spans="2:7" ht="15" customHeight="1" x14ac:dyDescent="0.25">
      <c r="B105" s="77"/>
      <c r="C105" s="78"/>
      <c r="D105" s="113"/>
      <c r="E105" s="75"/>
      <c r="F105" s="79"/>
      <c r="G105" s="80"/>
    </row>
    <row r="106" spans="2:7" ht="15" customHeight="1" x14ac:dyDescent="0.25">
      <c r="B106" s="77"/>
      <c r="C106" s="78"/>
      <c r="D106" s="113"/>
      <c r="E106" s="75"/>
      <c r="F106" s="79"/>
      <c r="G106" s="80"/>
    </row>
    <row r="107" spans="2:7" ht="15" customHeight="1" x14ac:dyDescent="0.25">
      <c r="B107" s="77"/>
      <c r="C107" s="78"/>
      <c r="D107" s="113"/>
      <c r="E107" s="75"/>
      <c r="F107" s="79"/>
      <c r="G107" s="80"/>
    </row>
    <row r="108" spans="2:7" ht="15" customHeight="1" x14ac:dyDescent="0.25">
      <c r="B108" s="77"/>
      <c r="C108" s="78"/>
      <c r="D108" s="113"/>
      <c r="E108" s="75"/>
      <c r="F108" s="79"/>
      <c r="G108" s="80"/>
    </row>
    <row r="109" spans="2:7" ht="15" customHeight="1" x14ac:dyDescent="0.25">
      <c r="B109" s="77"/>
      <c r="C109" s="78"/>
      <c r="D109" s="113"/>
      <c r="E109" s="75"/>
      <c r="F109" s="79"/>
      <c r="G109" s="80"/>
    </row>
    <row r="110" spans="2:7" ht="15" customHeight="1" x14ac:dyDescent="0.25">
      <c r="B110" s="77"/>
      <c r="C110" s="78"/>
      <c r="D110" s="113"/>
      <c r="E110" s="75"/>
      <c r="F110" s="79"/>
      <c r="G110" s="80"/>
    </row>
    <row r="111" spans="2:7" ht="15" customHeight="1" x14ac:dyDescent="0.25">
      <c r="B111" s="77"/>
      <c r="C111" s="78"/>
      <c r="D111" s="113"/>
      <c r="E111" s="75"/>
      <c r="F111" s="79"/>
      <c r="G111" s="80"/>
    </row>
    <row r="112" spans="2:7" ht="15" customHeight="1" x14ac:dyDescent="0.25">
      <c r="B112" s="77"/>
      <c r="C112" s="78"/>
      <c r="D112" s="113"/>
      <c r="E112" s="75"/>
      <c r="F112" s="79"/>
      <c r="G112" s="80"/>
    </row>
    <row r="113" spans="2:7" ht="15" customHeight="1" x14ac:dyDescent="0.25">
      <c r="B113" s="77"/>
      <c r="C113" s="78"/>
      <c r="D113" s="113"/>
      <c r="E113" s="75"/>
      <c r="F113" s="79"/>
      <c r="G113" s="80"/>
    </row>
    <row r="114" spans="2:7" ht="15" customHeight="1" x14ac:dyDescent="0.25">
      <c r="B114" s="77"/>
      <c r="C114" s="78"/>
      <c r="D114" s="113"/>
      <c r="E114" s="75"/>
      <c r="F114" s="79"/>
      <c r="G114" s="80"/>
    </row>
    <row r="115" spans="2:7" ht="15" customHeight="1" x14ac:dyDescent="0.25">
      <c r="B115" s="77"/>
      <c r="C115" s="78"/>
      <c r="D115" s="113"/>
      <c r="E115" s="75"/>
      <c r="F115" s="79"/>
      <c r="G115" s="80"/>
    </row>
    <row r="116" spans="2:7" ht="15" customHeight="1" x14ac:dyDescent="0.25">
      <c r="B116" s="77"/>
      <c r="C116" s="78"/>
      <c r="D116" s="113"/>
      <c r="E116" s="75"/>
      <c r="F116" s="79"/>
      <c r="G116" s="80"/>
    </row>
    <row r="117" spans="2:7" ht="15" customHeight="1" x14ac:dyDescent="0.25">
      <c r="B117" s="77"/>
      <c r="C117" s="78"/>
      <c r="D117" s="113"/>
      <c r="E117" s="75"/>
      <c r="F117" s="79"/>
      <c r="G117" s="80"/>
    </row>
    <row r="118" spans="2:7" ht="15" customHeight="1" x14ac:dyDescent="0.25">
      <c r="B118" s="77"/>
      <c r="C118" s="78"/>
      <c r="D118" s="113"/>
      <c r="E118" s="75"/>
      <c r="F118" s="79"/>
      <c r="G118" s="80"/>
    </row>
    <row r="119" spans="2:7" ht="15" customHeight="1" x14ac:dyDescent="0.25">
      <c r="B119" s="77"/>
      <c r="C119" s="78"/>
      <c r="D119" s="113"/>
      <c r="E119" s="75"/>
      <c r="F119" s="79"/>
      <c r="G119" s="80"/>
    </row>
    <row r="120" spans="2:7" ht="15" customHeight="1" x14ac:dyDescent="0.25">
      <c r="B120" s="77"/>
      <c r="C120" s="78"/>
      <c r="D120" s="113"/>
      <c r="E120" s="75"/>
      <c r="F120" s="79"/>
      <c r="G120" s="80"/>
    </row>
    <row r="121" spans="2:7" ht="15" customHeight="1" x14ac:dyDescent="0.25">
      <c r="B121" s="77"/>
      <c r="C121" s="78"/>
      <c r="D121" s="113"/>
      <c r="E121" s="75"/>
      <c r="F121" s="79"/>
      <c r="G121" s="80"/>
    </row>
    <row r="122" spans="2:7" ht="15" customHeight="1" x14ac:dyDescent="0.25">
      <c r="B122" s="77"/>
      <c r="C122" s="78"/>
      <c r="D122" s="113"/>
      <c r="E122" s="75"/>
      <c r="F122" s="79"/>
      <c r="G122" s="80"/>
    </row>
    <row r="123" spans="2:7" ht="15" customHeight="1" x14ac:dyDescent="0.25">
      <c r="B123" s="77"/>
      <c r="C123" s="78"/>
      <c r="D123" s="113"/>
      <c r="E123" s="75"/>
      <c r="F123" s="79"/>
      <c r="G123" s="80"/>
    </row>
    <row r="124" spans="2:7" ht="15" customHeight="1" x14ac:dyDescent="0.25">
      <c r="B124" s="77"/>
      <c r="C124" s="78"/>
      <c r="D124" s="113"/>
      <c r="E124" s="75"/>
      <c r="F124" s="79"/>
      <c r="G124" s="80"/>
    </row>
    <row r="125" spans="2:7" ht="15" customHeight="1" x14ac:dyDescent="0.25">
      <c r="B125" s="77"/>
      <c r="C125" s="78"/>
      <c r="D125" s="113"/>
      <c r="E125" s="75"/>
      <c r="F125" s="79"/>
      <c r="G125" s="80"/>
    </row>
    <row r="126" spans="2:7" ht="15" customHeight="1" x14ac:dyDescent="0.25">
      <c r="B126" s="77"/>
      <c r="C126" s="78"/>
      <c r="D126" s="113"/>
      <c r="E126" s="75"/>
      <c r="F126" s="79"/>
      <c r="G126" s="80"/>
    </row>
    <row r="127" spans="2:7" ht="15" customHeight="1" x14ac:dyDescent="0.25">
      <c r="B127" s="77"/>
      <c r="C127" s="78"/>
      <c r="D127" s="113"/>
      <c r="E127" s="75"/>
      <c r="F127" s="79"/>
      <c r="G127" s="80"/>
    </row>
    <row r="128" spans="2:7" ht="15" customHeight="1" x14ac:dyDescent="0.25">
      <c r="B128" s="77"/>
      <c r="C128" s="78"/>
      <c r="D128" s="113"/>
      <c r="E128" s="75"/>
      <c r="F128" s="79"/>
      <c r="G128" s="80"/>
    </row>
    <row r="129" spans="2:7" ht="15" customHeight="1" x14ac:dyDescent="0.25">
      <c r="B129" s="77"/>
      <c r="C129" s="78"/>
      <c r="D129" s="113"/>
      <c r="E129" s="75"/>
      <c r="F129" s="79"/>
      <c r="G129" s="80"/>
    </row>
    <row r="130" spans="2:7" ht="15" customHeight="1" x14ac:dyDescent="0.25">
      <c r="B130" s="77"/>
      <c r="C130" s="78"/>
      <c r="D130" s="113"/>
      <c r="E130" s="75"/>
      <c r="F130" s="79"/>
      <c r="G130" s="80"/>
    </row>
    <row r="131" spans="2:7" ht="15" customHeight="1" x14ac:dyDescent="0.25">
      <c r="B131" s="77"/>
      <c r="C131" s="78"/>
      <c r="D131" s="113"/>
      <c r="E131" s="75"/>
      <c r="F131" s="79"/>
      <c r="G131" s="80"/>
    </row>
    <row r="132" spans="2:7" ht="15" customHeight="1" x14ac:dyDescent="0.25">
      <c r="B132" s="77"/>
      <c r="C132" s="78"/>
      <c r="D132" s="113"/>
      <c r="E132" s="75"/>
      <c r="F132" s="79"/>
      <c r="G132" s="80"/>
    </row>
    <row r="133" spans="2:7" ht="15" customHeight="1" x14ac:dyDescent="0.25">
      <c r="B133" s="77"/>
      <c r="C133" s="78"/>
      <c r="D133" s="113"/>
      <c r="E133" s="75"/>
      <c r="F133" s="79"/>
      <c r="G133" s="80"/>
    </row>
    <row r="134" spans="2:7" ht="15" customHeight="1" x14ac:dyDescent="0.25">
      <c r="B134" s="77"/>
      <c r="C134" s="78"/>
      <c r="D134" s="113"/>
      <c r="E134" s="75"/>
      <c r="F134" s="79"/>
      <c r="G134" s="80"/>
    </row>
    <row r="135" spans="2:7" ht="15" customHeight="1" x14ac:dyDescent="0.25">
      <c r="B135" s="77"/>
      <c r="C135" s="78"/>
      <c r="D135" s="113"/>
      <c r="E135" s="75"/>
      <c r="F135" s="79"/>
      <c r="G135" s="80"/>
    </row>
    <row r="136" spans="2:7" ht="15" customHeight="1" x14ac:dyDescent="0.25">
      <c r="B136" s="77"/>
      <c r="C136" s="78"/>
      <c r="D136" s="113"/>
      <c r="E136" s="75"/>
      <c r="F136" s="79"/>
      <c r="G136" s="80"/>
    </row>
    <row r="137" spans="2:7" ht="15" customHeight="1" x14ac:dyDescent="0.25">
      <c r="B137" s="77"/>
      <c r="C137" s="78"/>
      <c r="D137" s="113"/>
      <c r="E137" s="75"/>
      <c r="F137" s="79"/>
      <c r="G137" s="80"/>
    </row>
    <row r="138" spans="2:7" ht="15" customHeight="1" x14ac:dyDescent="0.25">
      <c r="B138" s="77"/>
      <c r="C138" s="78"/>
      <c r="D138" s="113"/>
      <c r="E138" s="75"/>
      <c r="F138" s="79"/>
      <c r="G138" s="80"/>
    </row>
    <row r="139" spans="2:7" ht="15" customHeight="1" x14ac:dyDescent="0.25">
      <c r="B139" s="77"/>
      <c r="C139" s="78"/>
      <c r="D139" s="113"/>
      <c r="E139" s="75"/>
      <c r="F139" s="79"/>
      <c r="G139" s="80"/>
    </row>
    <row r="140" spans="2:7" ht="15" customHeight="1" x14ac:dyDescent="0.25">
      <c r="B140" s="77"/>
      <c r="C140" s="78"/>
      <c r="D140" s="113"/>
      <c r="E140" s="75"/>
      <c r="F140" s="79"/>
      <c r="G140" s="80"/>
    </row>
    <row r="141" spans="2:7" ht="15" customHeight="1" x14ac:dyDescent="0.25">
      <c r="B141" s="77"/>
      <c r="C141" s="78"/>
      <c r="D141" s="113"/>
      <c r="E141" s="75"/>
      <c r="F141" s="79"/>
      <c r="G141" s="80"/>
    </row>
    <row r="142" spans="2:7" ht="15" customHeight="1" x14ac:dyDescent="0.25">
      <c r="B142" s="77"/>
      <c r="C142" s="78"/>
      <c r="D142" s="113"/>
      <c r="E142" s="75"/>
      <c r="F142" s="79"/>
      <c r="G142" s="80"/>
    </row>
    <row r="143" spans="2:7" ht="15" customHeight="1" x14ac:dyDescent="0.25">
      <c r="B143" s="77"/>
      <c r="C143" s="78"/>
      <c r="D143" s="113"/>
      <c r="E143" s="75"/>
      <c r="F143" s="79"/>
      <c r="G143" s="80"/>
    </row>
    <row r="144" spans="2:7" ht="15" customHeight="1" x14ac:dyDescent="0.25">
      <c r="B144" s="77"/>
      <c r="C144" s="78"/>
      <c r="D144" s="113"/>
      <c r="E144" s="75"/>
      <c r="F144" s="79"/>
      <c r="G144" s="80"/>
    </row>
    <row r="145" spans="2:7" ht="15" customHeight="1" x14ac:dyDescent="0.25">
      <c r="B145" s="77"/>
      <c r="C145" s="78"/>
      <c r="D145" s="113"/>
      <c r="E145" s="75"/>
      <c r="F145" s="79"/>
      <c r="G145" s="80"/>
    </row>
    <row r="146" spans="2:7" ht="15" customHeight="1" x14ac:dyDescent="0.25">
      <c r="B146" s="77"/>
      <c r="C146" s="78"/>
      <c r="D146" s="113"/>
      <c r="E146" s="75"/>
      <c r="F146" s="79"/>
      <c r="G146" s="80"/>
    </row>
    <row r="147" spans="2:7" ht="15" customHeight="1" x14ac:dyDescent="0.25">
      <c r="B147" s="77"/>
      <c r="C147" s="78"/>
      <c r="D147" s="113"/>
      <c r="E147" s="75"/>
      <c r="F147" s="79"/>
      <c r="G147" s="80"/>
    </row>
    <row r="148" spans="2:7" ht="15" customHeight="1" x14ac:dyDescent="0.25">
      <c r="B148" s="77"/>
      <c r="C148" s="78"/>
      <c r="D148" s="113"/>
      <c r="E148" s="75"/>
      <c r="F148" s="79"/>
      <c r="G148" s="80"/>
    </row>
    <row r="149" spans="2:7" ht="15" customHeight="1" x14ac:dyDescent="0.25">
      <c r="B149" s="77"/>
      <c r="C149" s="78"/>
      <c r="D149" s="113"/>
      <c r="E149" s="75"/>
      <c r="F149" s="79"/>
      <c r="G149" s="80"/>
    </row>
    <row r="150" spans="2:7" ht="15" customHeight="1" x14ac:dyDescent="0.25">
      <c r="B150" s="77"/>
      <c r="C150" s="78"/>
      <c r="D150" s="113"/>
      <c r="E150" s="75"/>
      <c r="F150" s="79"/>
      <c r="G150" s="80"/>
    </row>
    <row r="151" spans="2:7" ht="15" customHeight="1" x14ac:dyDescent="0.25">
      <c r="B151" s="77"/>
      <c r="C151" s="78"/>
      <c r="D151" s="113"/>
      <c r="E151" s="75"/>
      <c r="F151" s="79"/>
      <c r="G151" s="80"/>
    </row>
    <row r="152" spans="2:7" ht="15" customHeight="1" x14ac:dyDescent="0.25">
      <c r="B152" s="77"/>
      <c r="C152" s="78"/>
      <c r="D152" s="113"/>
      <c r="E152" s="75"/>
      <c r="F152" s="79"/>
      <c r="G152" s="80"/>
    </row>
    <row r="153" spans="2:7" ht="15" customHeight="1" x14ac:dyDescent="0.25">
      <c r="B153" s="77"/>
      <c r="C153" s="78"/>
      <c r="D153" s="113"/>
      <c r="E153" s="75"/>
      <c r="F153" s="79"/>
      <c r="G153" s="80"/>
    </row>
    <row r="154" spans="2:7" ht="15" customHeight="1" x14ac:dyDescent="0.25">
      <c r="B154" s="77"/>
      <c r="C154" s="78"/>
      <c r="D154" s="113"/>
      <c r="E154" s="75"/>
      <c r="F154" s="79"/>
      <c r="G154" s="80"/>
    </row>
    <row r="155" spans="2:7" ht="15" customHeight="1" x14ac:dyDescent="0.25">
      <c r="B155" s="77"/>
      <c r="C155" s="78"/>
      <c r="D155" s="113"/>
      <c r="E155" s="75"/>
      <c r="F155" s="79"/>
      <c r="G155" s="80"/>
    </row>
    <row r="156" spans="2:7" ht="15" customHeight="1" x14ac:dyDescent="0.25">
      <c r="B156" s="77"/>
      <c r="C156" s="78"/>
      <c r="D156" s="113"/>
      <c r="E156" s="75"/>
      <c r="F156" s="79"/>
      <c r="G156" s="80"/>
    </row>
    <row r="157" spans="2:7" ht="15" customHeight="1" x14ac:dyDescent="0.25">
      <c r="B157" s="77"/>
      <c r="C157" s="78"/>
      <c r="D157" s="113"/>
      <c r="E157" s="75"/>
      <c r="F157" s="79"/>
      <c r="G157" s="80"/>
    </row>
    <row r="158" spans="2:7" ht="15" customHeight="1" x14ac:dyDescent="0.25">
      <c r="B158" s="77"/>
      <c r="C158" s="78"/>
      <c r="D158" s="113"/>
      <c r="E158" s="75"/>
      <c r="F158" s="79"/>
      <c r="G158" s="80"/>
    </row>
    <row r="159" spans="2:7" ht="15" customHeight="1" x14ac:dyDescent="0.25">
      <c r="B159" s="77"/>
      <c r="C159" s="78"/>
      <c r="D159" s="113"/>
      <c r="E159" s="75"/>
      <c r="F159" s="79"/>
      <c r="G159" s="80"/>
    </row>
    <row r="160" spans="2:7" ht="15" customHeight="1" x14ac:dyDescent="0.25">
      <c r="B160" s="77"/>
      <c r="C160" s="78"/>
      <c r="D160" s="113"/>
      <c r="E160" s="75"/>
      <c r="F160" s="79"/>
      <c r="G160" s="80"/>
    </row>
    <row r="161" spans="2:7" ht="15" customHeight="1" x14ac:dyDescent="0.25">
      <c r="B161" s="77"/>
      <c r="C161" s="78"/>
      <c r="D161" s="113"/>
      <c r="E161" s="75"/>
      <c r="F161" s="79"/>
      <c r="G161" s="80"/>
    </row>
    <row r="162" spans="2:7" ht="15" customHeight="1" x14ac:dyDescent="0.25">
      <c r="B162" s="77"/>
      <c r="C162" s="78"/>
      <c r="D162" s="113"/>
      <c r="E162" s="75"/>
      <c r="F162" s="79"/>
      <c r="G162" s="80"/>
    </row>
    <row r="163" spans="2:7" ht="15" customHeight="1" x14ac:dyDescent="0.25">
      <c r="B163" s="77"/>
      <c r="C163" s="78"/>
      <c r="D163" s="113"/>
      <c r="E163" s="75"/>
      <c r="F163" s="79"/>
      <c r="G163" s="80"/>
    </row>
    <row r="164" spans="2:7" ht="15" customHeight="1" x14ac:dyDescent="0.25">
      <c r="B164" s="77"/>
      <c r="C164" s="78"/>
      <c r="D164" s="113"/>
      <c r="E164" s="75"/>
      <c r="F164" s="79"/>
      <c r="G164" s="80"/>
    </row>
    <row r="165" spans="2:7" ht="15" customHeight="1" x14ac:dyDescent="0.25">
      <c r="B165" s="77"/>
      <c r="C165" s="78"/>
      <c r="D165" s="113"/>
      <c r="E165" s="75"/>
      <c r="F165" s="79"/>
      <c r="G165" s="80"/>
    </row>
    <row r="166" spans="2:7" ht="15" customHeight="1" x14ac:dyDescent="0.25">
      <c r="B166" s="77"/>
      <c r="C166" s="78"/>
      <c r="D166" s="113"/>
      <c r="E166" s="75"/>
      <c r="F166" s="79"/>
      <c r="G166" s="80"/>
    </row>
    <row r="167" spans="2:7" ht="15" customHeight="1" x14ac:dyDescent="0.25">
      <c r="B167" s="77"/>
      <c r="C167" s="78"/>
      <c r="D167" s="113"/>
      <c r="E167" s="75"/>
      <c r="F167" s="79"/>
      <c r="G167" s="80"/>
    </row>
    <row r="168" spans="2:7" ht="15" customHeight="1" x14ac:dyDescent="0.25">
      <c r="B168" s="77"/>
      <c r="C168" s="78"/>
      <c r="D168" s="113"/>
      <c r="E168" s="75"/>
      <c r="F168" s="79"/>
      <c r="G168" s="80"/>
    </row>
    <row r="169" spans="2:7" ht="15" customHeight="1" x14ac:dyDescent="0.25">
      <c r="B169" s="77"/>
      <c r="C169" s="78"/>
      <c r="D169" s="113"/>
      <c r="E169" s="75"/>
      <c r="F169" s="79"/>
      <c r="G169" s="80"/>
    </row>
    <row r="170" spans="2:7" ht="15" customHeight="1" x14ac:dyDescent="0.25">
      <c r="B170" s="77"/>
      <c r="C170" s="78"/>
      <c r="D170" s="113"/>
      <c r="E170" s="75"/>
      <c r="F170" s="79"/>
      <c r="G170" s="80"/>
    </row>
    <row r="171" spans="2:7" ht="15" customHeight="1" x14ac:dyDescent="0.25">
      <c r="B171" s="77"/>
      <c r="C171" s="78"/>
      <c r="D171" s="113"/>
      <c r="E171" s="75"/>
      <c r="F171" s="79"/>
      <c r="G171" s="80"/>
    </row>
    <row r="172" spans="2:7" ht="15" customHeight="1" x14ac:dyDescent="0.25">
      <c r="B172" s="77"/>
      <c r="C172" s="78"/>
      <c r="D172" s="113"/>
      <c r="E172" s="75"/>
      <c r="F172" s="79"/>
      <c r="G172" s="80"/>
    </row>
    <row r="173" spans="2:7" ht="15" customHeight="1" x14ac:dyDescent="0.25">
      <c r="B173" s="77"/>
      <c r="C173" s="78"/>
      <c r="D173" s="113"/>
      <c r="E173" s="75"/>
      <c r="F173" s="79"/>
      <c r="G173" s="80"/>
    </row>
    <row r="174" spans="2:7" ht="15" customHeight="1" x14ac:dyDescent="0.25">
      <c r="B174" s="77"/>
      <c r="C174" s="78"/>
      <c r="D174" s="113"/>
      <c r="E174" s="75"/>
      <c r="F174" s="79"/>
      <c r="G174" s="80"/>
    </row>
    <row r="175" spans="2:7" ht="15" customHeight="1" x14ac:dyDescent="0.25">
      <c r="B175" s="77"/>
      <c r="C175" s="78"/>
      <c r="D175" s="113"/>
      <c r="E175" s="75"/>
      <c r="F175" s="79"/>
      <c r="G175" s="80"/>
    </row>
    <row r="176" spans="2:7" ht="15" customHeight="1" x14ac:dyDescent="0.25">
      <c r="B176" s="77"/>
      <c r="C176" s="78"/>
      <c r="D176" s="113"/>
      <c r="E176" s="75"/>
      <c r="F176" s="79"/>
      <c r="G176" s="80"/>
    </row>
    <row r="177" spans="2:7" ht="15" customHeight="1" x14ac:dyDescent="0.25">
      <c r="B177" s="77"/>
      <c r="C177" s="78"/>
      <c r="D177" s="113"/>
      <c r="E177" s="75"/>
      <c r="F177" s="79"/>
      <c r="G177" s="80"/>
    </row>
    <row r="178" spans="2:7" ht="15" customHeight="1" x14ac:dyDescent="0.25">
      <c r="B178" s="77"/>
      <c r="C178" s="78"/>
      <c r="D178" s="113"/>
      <c r="E178" s="75"/>
      <c r="F178" s="79"/>
      <c r="G178" s="80"/>
    </row>
    <row r="179" spans="2:7" ht="15" customHeight="1" x14ac:dyDescent="0.25">
      <c r="B179" s="77"/>
      <c r="C179" s="78"/>
      <c r="D179" s="113"/>
      <c r="E179" s="75"/>
      <c r="F179" s="79"/>
      <c r="G179" s="80"/>
    </row>
    <row r="180" spans="2:7" ht="15" customHeight="1" x14ac:dyDescent="0.25">
      <c r="B180" s="77"/>
      <c r="C180" s="78"/>
      <c r="D180" s="113"/>
      <c r="E180" s="75"/>
      <c r="F180" s="79"/>
      <c r="G180" s="80"/>
    </row>
    <row r="181" spans="2:7" ht="15" customHeight="1" x14ac:dyDescent="0.25">
      <c r="B181" s="77"/>
      <c r="C181" s="78"/>
      <c r="D181" s="113"/>
      <c r="E181" s="75"/>
      <c r="F181" s="79"/>
      <c r="G181" s="80"/>
    </row>
    <row r="182" spans="2:7" ht="15" customHeight="1" x14ac:dyDescent="0.25">
      <c r="B182" s="77"/>
      <c r="C182" s="78"/>
      <c r="D182" s="113"/>
      <c r="E182" s="75"/>
      <c r="F182" s="79"/>
      <c r="G182" s="80"/>
    </row>
    <row r="183" spans="2:7" ht="15" customHeight="1" x14ac:dyDescent="0.25">
      <c r="B183" s="77"/>
      <c r="C183" s="78"/>
      <c r="D183" s="113"/>
      <c r="E183" s="75"/>
      <c r="F183" s="79"/>
      <c r="G183" s="80"/>
    </row>
    <row r="184" spans="2:7" ht="15" customHeight="1" x14ac:dyDescent="0.25">
      <c r="B184" s="77"/>
      <c r="C184" s="78"/>
      <c r="D184" s="113"/>
      <c r="E184" s="75"/>
      <c r="F184" s="79"/>
      <c r="G184" s="80"/>
    </row>
    <row r="185" spans="2:7" ht="15" customHeight="1" x14ac:dyDescent="0.25">
      <c r="B185" s="77"/>
      <c r="C185" s="78"/>
      <c r="D185" s="113"/>
      <c r="E185" s="75"/>
      <c r="F185" s="79"/>
      <c r="G185" s="80"/>
    </row>
    <row r="186" spans="2:7" ht="15" customHeight="1" x14ac:dyDescent="0.25">
      <c r="B186" s="77"/>
      <c r="C186" s="78"/>
      <c r="D186" s="113"/>
      <c r="E186" s="75"/>
      <c r="F186" s="79"/>
      <c r="G186" s="80"/>
    </row>
    <row r="187" spans="2:7" ht="15" customHeight="1" x14ac:dyDescent="0.25">
      <c r="B187" s="77"/>
      <c r="C187" s="78"/>
      <c r="D187" s="78"/>
      <c r="E187" s="75"/>
      <c r="F187" s="79"/>
      <c r="G187" s="80"/>
    </row>
    <row r="188" spans="2:7" ht="15" customHeight="1" x14ac:dyDescent="0.25">
      <c r="B188" s="77"/>
      <c r="C188" s="78"/>
      <c r="D188" s="78"/>
      <c r="E188" s="75"/>
      <c r="F188" s="79"/>
      <c r="G188" s="80"/>
    </row>
    <row r="189" spans="2:7" ht="15" customHeight="1" x14ac:dyDescent="0.25">
      <c r="B189" s="77"/>
      <c r="C189" s="78"/>
      <c r="D189" s="78"/>
      <c r="E189" s="75"/>
      <c r="F189" s="79"/>
      <c r="G189" s="80"/>
    </row>
    <row r="190" spans="2:7" ht="15" customHeight="1" x14ac:dyDescent="0.25">
      <c r="B190" s="77"/>
      <c r="C190" s="78"/>
      <c r="D190" s="78"/>
      <c r="E190" s="75"/>
      <c r="F190" s="79"/>
      <c r="G190" s="80"/>
    </row>
    <row r="191" spans="2:7" ht="15" customHeight="1" x14ac:dyDescent="0.25">
      <c r="B191" s="77"/>
      <c r="C191" s="78"/>
      <c r="D191" s="78"/>
      <c r="E191" s="75"/>
      <c r="F191" s="79"/>
      <c r="G191" s="80"/>
    </row>
    <row r="192" spans="2:7" ht="15" customHeight="1" x14ac:dyDescent="0.25">
      <c r="B192" s="77"/>
      <c r="C192" s="78"/>
      <c r="D192" s="78"/>
      <c r="E192" s="75"/>
      <c r="F192" s="79"/>
      <c r="G192" s="80"/>
    </row>
    <row r="193" spans="2:7" ht="15" customHeight="1" x14ac:dyDescent="0.25">
      <c r="B193" s="77"/>
      <c r="C193" s="78"/>
      <c r="D193" s="78"/>
      <c r="E193" s="75"/>
      <c r="F193" s="79"/>
      <c r="G193" s="80"/>
    </row>
    <row r="194" spans="2:7" ht="15" customHeight="1" x14ac:dyDescent="0.25">
      <c r="B194" s="77"/>
      <c r="C194" s="78"/>
      <c r="D194" s="78"/>
      <c r="E194" s="75"/>
      <c r="F194" s="79"/>
      <c r="G194" s="80"/>
    </row>
    <row r="195" spans="2:7" ht="15" customHeight="1" x14ac:dyDescent="0.25">
      <c r="B195" s="77"/>
      <c r="C195" s="78"/>
      <c r="D195" s="78"/>
      <c r="E195" s="75"/>
      <c r="F195" s="79"/>
      <c r="G195" s="80"/>
    </row>
    <row r="196" spans="2:7" ht="15" customHeight="1" x14ac:dyDescent="0.25">
      <c r="B196" s="77"/>
      <c r="C196" s="78"/>
      <c r="D196" s="78"/>
      <c r="E196" s="75"/>
      <c r="F196" s="79"/>
      <c r="G196" s="80"/>
    </row>
    <row r="197" spans="2:7" ht="15" customHeight="1" x14ac:dyDescent="0.25">
      <c r="B197" s="77"/>
      <c r="C197" s="78"/>
      <c r="D197" s="78"/>
      <c r="E197" s="75"/>
      <c r="F197" s="79"/>
      <c r="G197" s="80"/>
    </row>
    <row r="198" spans="2:7" ht="15" customHeight="1" x14ac:dyDescent="0.25">
      <c r="B198" s="77"/>
      <c r="C198" s="78"/>
      <c r="D198" s="78"/>
      <c r="E198" s="75"/>
      <c r="F198" s="79"/>
      <c r="G198" s="80"/>
    </row>
    <row r="199" spans="2:7" ht="15" customHeight="1" x14ac:dyDescent="0.25">
      <c r="B199" s="77"/>
      <c r="C199" s="78"/>
      <c r="D199" s="78"/>
      <c r="E199" s="75"/>
      <c r="F199" s="79"/>
      <c r="G199" s="80"/>
    </row>
    <row r="200" spans="2:7" ht="15" customHeight="1" x14ac:dyDescent="0.25">
      <c r="B200" s="77"/>
      <c r="C200" s="78"/>
      <c r="D200" s="78"/>
      <c r="E200" s="75"/>
      <c r="F200" s="79"/>
      <c r="G200" s="80"/>
    </row>
    <row r="201" spans="2:7" ht="15" customHeight="1" x14ac:dyDescent="0.25">
      <c r="B201" s="77"/>
      <c r="C201" s="78"/>
      <c r="D201" s="78"/>
      <c r="E201" s="75"/>
      <c r="F201" s="79"/>
      <c r="G201" s="80"/>
    </row>
    <row r="202" spans="2:7" ht="15" customHeight="1" x14ac:dyDescent="0.25">
      <c r="B202" s="77"/>
      <c r="C202" s="78"/>
      <c r="D202" s="78"/>
      <c r="E202" s="75"/>
      <c r="F202" s="79"/>
      <c r="G202" s="80"/>
    </row>
    <row r="203" spans="2:7" ht="15" customHeight="1" x14ac:dyDescent="0.25">
      <c r="B203" s="77"/>
      <c r="C203" s="78"/>
      <c r="D203" s="78"/>
      <c r="E203" s="75"/>
      <c r="F203" s="79"/>
      <c r="G203" s="80"/>
    </row>
    <row r="204" spans="2:7" ht="15" customHeight="1" x14ac:dyDescent="0.25">
      <c r="B204" s="77"/>
      <c r="C204" s="78"/>
      <c r="D204" s="78"/>
      <c r="E204" s="75"/>
      <c r="F204" s="79"/>
      <c r="G204" s="80"/>
    </row>
    <row r="205" spans="2:7" ht="15" customHeight="1" x14ac:dyDescent="0.25">
      <c r="B205" s="77"/>
      <c r="C205" s="78"/>
      <c r="D205" s="78"/>
      <c r="E205" s="75"/>
      <c r="F205" s="79"/>
      <c r="G205" s="80"/>
    </row>
    <row r="206" spans="2:7" ht="15" customHeight="1" x14ac:dyDescent="0.25">
      <c r="B206" s="77"/>
      <c r="C206" s="78"/>
      <c r="D206" s="78"/>
      <c r="E206" s="75"/>
      <c r="F206" s="79"/>
      <c r="G206" s="80"/>
    </row>
    <row r="207" spans="2:7" ht="15" customHeight="1" x14ac:dyDescent="0.25">
      <c r="B207" s="77"/>
      <c r="C207" s="78"/>
      <c r="D207" s="78"/>
      <c r="E207" s="75"/>
      <c r="F207" s="79"/>
      <c r="G207" s="80"/>
    </row>
    <row r="208" spans="2:7" ht="15" customHeight="1" x14ac:dyDescent="0.25">
      <c r="B208" s="77"/>
      <c r="C208" s="78"/>
      <c r="D208" s="78"/>
      <c r="E208" s="75"/>
      <c r="F208" s="79"/>
      <c r="G208" s="80"/>
    </row>
    <row r="209" spans="2:7" ht="15" customHeight="1" x14ac:dyDescent="0.25">
      <c r="B209" s="77"/>
      <c r="C209" s="78"/>
      <c r="D209" s="78"/>
      <c r="E209" s="75"/>
      <c r="F209" s="79"/>
      <c r="G209" s="80"/>
    </row>
    <row r="210" spans="2:7" ht="15" customHeight="1" x14ac:dyDescent="0.25">
      <c r="B210" s="77"/>
      <c r="C210" s="78"/>
      <c r="D210" s="78"/>
      <c r="E210" s="75"/>
      <c r="F210" s="79"/>
      <c r="G210" s="80"/>
    </row>
    <row r="211" spans="2:7" ht="15" customHeight="1" x14ac:dyDescent="0.25">
      <c r="B211" s="77"/>
      <c r="C211" s="78"/>
      <c r="D211" s="78"/>
      <c r="E211" s="75"/>
      <c r="F211" s="79"/>
      <c r="G211" s="80"/>
    </row>
    <row r="212" spans="2:7" ht="15" customHeight="1" x14ac:dyDescent="0.25">
      <c r="B212" s="77"/>
      <c r="C212" s="78"/>
      <c r="D212" s="78"/>
      <c r="E212" s="75"/>
      <c r="F212" s="79"/>
      <c r="G212" s="80"/>
    </row>
    <row r="213" spans="2:7" ht="15" customHeight="1" x14ac:dyDescent="0.25">
      <c r="B213" s="77"/>
      <c r="C213" s="78"/>
      <c r="D213" s="78"/>
      <c r="E213" s="75"/>
      <c r="F213" s="79"/>
      <c r="G213" s="80"/>
    </row>
    <row r="214" spans="2:7" ht="15" customHeight="1" x14ac:dyDescent="0.25">
      <c r="B214" s="77"/>
      <c r="C214" s="78"/>
      <c r="D214" s="78"/>
      <c r="E214" s="75"/>
      <c r="F214" s="79"/>
      <c r="G214" s="80"/>
    </row>
    <row r="215" spans="2:7" ht="15" customHeight="1" x14ac:dyDescent="0.25">
      <c r="B215" s="77"/>
      <c r="C215" s="78"/>
      <c r="D215" s="78"/>
      <c r="E215" s="75"/>
      <c r="F215" s="79"/>
      <c r="G215" s="80"/>
    </row>
    <row r="216" spans="2:7" ht="15" customHeight="1" x14ac:dyDescent="0.25">
      <c r="B216" s="77"/>
      <c r="C216" s="78"/>
      <c r="D216" s="78"/>
      <c r="E216" s="75"/>
      <c r="F216" s="79"/>
      <c r="G216" s="80"/>
    </row>
    <row r="217" spans="2:7" ht="15" customHeight="1" x14ac:dyDescent="0.25">
      <c r="B217" s="77"/>
      <c r="C217" s="78"/>
      <c r="D217" s="78"/>
      <c r="E217" s="75"/>
      <c r="F217" s="79"/>
      <c r="G217" s="80"/>
    </row>
    <row r="218" spans="2:7" ht="15" customHeight="1" x14ac:dyDescent="0.25">
      <c r="B218" s="77"/>
      <c r="C218" s="78"/>
      <c r="D218" s="78"/>
      <c r="E218" s="75"/>
      <c r="F218" s="79"/>
      <c r="G218" s="80"/>
    </row>
    <row r="219" spans="2:7" ht="15" customHeight="1" x14ac:dyDescent="0.25">
      <c r="B219" s="77"/>
      <c r="C219" s="78"/>
      <c r="D219" s="78"/>
      <c r="E219" s="75"/>
      <c r="F219" s="79"/>
      <c r="G219" s="80"/>
    </row>
    <row r="220" spans="2:7" ht="15" customHeight="1" x14ac:dyDescent="0.25">
      <c r="B220" s="77"/>
      <c r="C220" s="78"/>
      <c r="D220" s="78"/>
      <c r="E220" s="75"/>
      <c r="F220" s="79"/>
      <c r="G220" s="80"/>
    </row>
    <row r="221" spans="2:7" ht="15" customHeight="1" x14ac:dyDescent="0.25">
      <c r="B221" s="77"/>
      <c r="C221" s="78"/>
      <c r="D221" s="78"/>
      <c r="E221" s="75"/>
      <c r="F221" s="79"/>
      <c r="G221" s="80"/>
    </row>
    <row r="222" spans="2:7" ht="15" customHeight="1" x14ac:dyDescent="0.25">
      <c r="B222" s="77"/>
      <c r="C222" s="78"/>
      <c r="D222" s="78"/>
      <c r="E222" s="75"/>
      <c r="F222" s="79"/>
      <c r="G222" s="80"/>
    </row>
    <row r="223" spans="2:7" ht="15" customHeight="1" x14ac:dyDescent="0.25">
      <c r="B223" s="77"/>
      <c r="C223" s="78"/>
      <c r="D223" s="78"/>
      <c r="E223" s="75"/>
      <c r="F223" s="79"/>
      <c r="G223" s="80"/>
    </row>
    <row r="224" spans="2:7" ht="15" customHeight="1" x14ac:dyDescent="0.25">
      <c r="B224" s="77"/>
      <c r="C224" s="78"/>
      <c r="D224" s="78"/>
      <c r="E224" s="75"/>
      <c r="F224" s="79"/>
      <c r="G224" s="80"/>
    </row>
    <row r="225" spans="2:7" ht="15" customHeight="1" x14ac:dyDescent="0.25">
      <c r="B225" s="77"/>
      <c r="C225" s="78"/>
      <c r="D225" s="78"/>
      <c r="E225" s="75"/>
      <c r="F225" s="79"/>
      <c r="G225" s="80"/>
    </row>
    <row r="226" spans="2:7" ht="15" customHeight="1" x14ac:dyDescent="0.25">
      <c r="B226" s="77"/>
      <c r="C226" s="78"/>
      <c r="D226" s="78"/>
      <c r="E226" s="75"/>
      <c r="F226" s="79"/>
      <c r="G226" s="80"/>
    </row>
    <row r="227" spans="2:7" ht="15" customHeight="1" x14ac:dyDescent="0.25">
      <c r="B227" s="77"/>
      <c r="C227" s="78"/>
      <c r="D227" s="78"/>
      <c r="E227" s="75"/>
      <c r="F227" s="79"/>
      <c r="G227" s="80"/>
    </row>
    <row r="228" spans="2:7" ht="15" customHeight="1" x14ac:dyDescent="0.25">
      <c r="B228" s="77"/>
      <c r="C228" s="78"/>
      <c r="D228" s="78"/>
      <c r="E228" s="75"/>
      <c r="F228" s="79"/>
      <c r="G228" s="80"/>
    </row>
    <row r="229" spans="2:7" ht="15" customHeight="1" x14ac:dyDescent="0.25">
      <c r="B229" s="77"/>
      <c r="C229" s="78"/>
      <c r="D229" s="78"/>
      <c r="E229" s="75"/>
      <c r="F229" s="79"/>
      <c r="G229" s="80"/>
    </row>
    <row r="230" spans="2:7" ht="15" customHeight="1" x14ac:dyDescent="0.25">
      <c r="B230" s="77"/>
      <c r="C230" s="78"/>
      <c r="D230" s="78"/>
      <c r="E230" s="75"/>
      <c r="F230" s="79"/>
      <c r="G230" s="80"/>
    </row>
    <row r="231" spans="2:7" ht="15" customHeight="1" x14ac:dyDescent="0.25">
      <c r="B231" s="77"/>
      <c r="C231" s="78"/>
      <c r="D231" s="78"/>
      <c r="E231" s="75"/>
      <c r="F231" s="79"/>
      <c r="G231" s="80"/>
    </row>
    <row r="232" spans="2:7" ht="15" customHeight="1" x14ac:dyDescent="0.25">
      <c r="B232" s="77"/>
      <c r="C232" s="78"/>
      <c r="D232" s="78"/>
      <c r="E232" s="75"/>
      <c r="F232" s="79"/>
      <c r="G232" s="80"/>
    </row>
    <row r="233" spans="2:7" ht="15" customHeight="1" x14ac:dyDescent="0.25">
      <c r="B233" s="77"/>
      <c r="C233" s="78"/>
      <c r="D233" s="78"/>
      <c r="E233" s="75"/>
      <c r="F233" s="79"/>
      <c r="G233" s="80"/>
    </row>
    <row r="234" spans="2:7" ht="15" customHeight="1" x14ac:dyDescent="0.25">
      <c r="B234" s="77"/>
      <c r="C234" s="78"/>
      <c r="D234" s="78"/>
      <c r="E234" s="75"/>
      <c r="F234" s="79"/>
      <c r="G234" s="80"/>
    </row>
    <row r="235" spans="2:7" ht="15" customHeight="1" x14ac:dyDescent="0.25">
      <c r="B235" s="77"/>
      <c r="C235" s="78"/>
      <c r="D235" s="78"/>
      <c r="E235" s="75"/>
      <c r="F235" s="79"/>
      <c r="G235" s="80"/>
    </row>
    <row r="236" spans="2:7" ht="15" customHeight="1" x14ac:dyDescent="0.25">
      <c r="B236" s="77"/>
      <c r="C236" s="78"/>
      <c r="D236" s="78"/>
      <c r="E236" s="75"/>
      <c r="F236" s="79"/>
      <c r="G236" s="80"/>
    </row>
    <row r="237" spans="2:7" ht="15" customHeight="1" x14ac:dyDescent="0.25">
      <c r="B237" s="77"/>
      <c r="C237" s="78"/>
      <c r="D237" s="78"/>
      <c r="E237" s="75"/>
      <c r="F237" s="79"/>
      <c r="G237" s="80"/>
    </row>
    <row r="238" spans="2:7" ht="15" customHeight="1" x14ac:dyDescent="0.25">
      <c r="B238" s="77"/>
      <c r="C238" s="78"/>
      <c r="D238" s="78"/>
      <c r="E238" s="75"/>
      <c r="F238" s="79"/>
      <c r="G238" s="80"/>
    </row>
    <row r="239" spans="2:7" ht="15" customHeight="1" x14ac:dyDescent="0.25">
      <c r="B239" s="77"/>
      <c r="C239" s="78"/>
      <c r="D239" s="78"/>
      <c r="E239" s="75"/>
      <c r="F239" s="79"/>
      <c r="G239" s="80"/>
    </row>
    <row r="240" spans="2:7" ht="15" customHeight="1" x14ac:dyDescent="0.25">
      <c r="B240" s="77"/>
      <c r="C240" s="78"/>
      <c r="D240" s="78"/>
      <c r="E240" s="75"/>
      <c r="F240" s="79"/>
      <c r="G240" s="80"/>
    </row>
    <row r="241" spans="2:7" ht="15" customHeight="1" x14ac:dyDescent="0.25">
      <c r="B241" s="77"/>
      <c r="C241" s="78"/>
      <c r="D241" s="78"/>
      <c r="E241" s="75"/>
      <c r="F241" s="79"/>
      <c r="G241" s="80"/>
    </row>
    <row r="242" spans="2:7" ht="15" customHeight="1" x14ac:dyDescent="0.25">
      <c r="B242" s="77"/>
      <c r="C242" s="78"/>
      <c r="D242" s="78"/>
      <c r="E242" s="75"/>
      <c r="F242" s="79"/>
      <c r="G242" s="80"/>
    </row>
    <row r="243" spans="2:7" ht="15" customHeight="1" x14ac:dyDescent="0.25">
      <c r="B243" s="77"/>
      <c r="C243" s="78"/>
      <c r="D243" s="78"/>
      <c r="E243" s="75"/>
      <c r="F243" s="79"/>
      <c r="G243" s="80"/>
    </row>
    <row r="244" spans="2:7" ht="15" customHeight="1" x14ac:dyDescent="0.25">
      <c r="B244" s="77"/>
      <c r="C244" s="78"/>
      <c r="D244" s="78"/>
      <c r="E244" s="75"/>
      <c r="F244" s="79"/>
      <c r="G244" s="80"/>
    </row>
    <row r="245" spans="2:7" ht="15" customHeight="1" x14ac:dyDescent="0.25">
      <c r="B245" s="77"/>
      <c r="C245" s="78"/>
      <c r="D245" s="78"/>
      <c r="E245" s="75"/>
      <c r="F245" s="79"/>
      <c r="G245" s="80"/>
    </row>
    <row r="246" spans="2:7" ht="15" customHeight="1" x14ac:dyDescent="0.25">
      <c r="B246" s="77"/>
      <c r="C246" s="78"/>
      <c r="D246" s="78"/>
      <c r="E246" s="75"/>
      <c r="F246" s="79"/>
      <c r="G246" s="80"/>
    </row>
    <row r="247" spans="2:7" ht="15" customHeight="1" x14ac:dyDescent="0.25">
      <c r="B247" s="77"/>
      <c r="C247" s="78"/>
      <c r="D247" s="78"/>
      <c r="E247" s="75"/>
      <c r="F247" s="79"/>
      <c r="G247" s="80"/>
    </row>
    <row r="248" spans="2:7" ht="15" customHeight="1" x14ac:dyDescent="0.25">
      <c r="B248" s="77"/>
      <c r="C248" s="78"/>
      <c r="D248" s="78"/>
      <c r="E248" s="75"/>
      <c r="F248" s="79"/>
      <c r="G248" s="80"/>
    </row>
    <row r="249" spans="2:7" ht="15" customHeight="1" x14ac:dyDescent="0.25">
      <c r="B249" s="77"/>
      <c r="C249" s="78"/>
      <c r="D249" s="78"/>
      <c r="E249" s="75"/>
      <c r="F249" s="79"/>
      <c r="G249" s="80"/>
    </row>
    <row r="250" spans="2:7" ht="15" customHeight="1" x14ac:dyDescent="0.25">
      <c r="B250" s="77"/>
      <c r="C250" s="78"/>
      <c r="D250" s="78"/>
      <c r="E250" s="75"/>
      <c r="F250" s="79"/>
      <c r="G250" s="80"/>
    </row>
    <row r="251" spans="2:7" ht="15" customHeight="1" x14ac:dyDescent="0.25">
      <c r="B251" s="77"/>
      <c r="C251" s="78"/>
      <c r="D251" s="78"/>
      <c r="E251" s="75"/>
      <c r="F251" s="79"/>
      <c r="G251" s="80"/>
    </row>
    <row r="252" spans="2:7" ht="15" customHeight="1" x14ac:dyDescent="0.25">
      <c r="B252" s="77"/>
      <c r="C252" s="78"/>
      <c r="D252" s="78"/>
      <c r="E252" s="75"/>
      <c r="F252" s="79"/>
      <c r="G252" s="80"/>
    </row>
    <row r="253" spans="2:7" ht="15" customHeight="1" x14ac:dyDescent="0.25">
      <c r="B253" s="77"/>
      <c r="C253" s="78"/>
      <c r="D253" s="78"/>
      <c r="E253" s="75"/>
      <c r="F253" s="79"/>
      <c r="G253" s="80"/>
    </row>
    <row r="254" spans="2:7" ht="15" customHeight="1" x14ac:dyDescent="0.25">
      <c r="B254" s="77"/>
      <c r="C254" s="78"/>
      <c r="D254" s="78"/>
      <c r="E254" s="75"/>
      <c r="F254" s="79"/>
      <c r="G254" s="80"/>
    </row>
    <row r="255" spans="2:7" ht="15" customHeight="1" x14ac:dyDescent="0.25">
      <c r="B255" s="77"/>
      <c r="C255" s="78"/>
      <c r="D255" s="78"/>
      <c r="E255" s="75"/>
      <c r="F255" s="79"/>
      <c r="G255" s="80"/>
    </row>
    <row r="256" spans="2:7" ht="15" customHeight="1" x14ac:dyDescent="0.25">
      <c r="B256" s="77"/>
      <c r="C256" s="78"/>
      <c r="D256" s="78"/>
      <c r="E256" s="75"/>
      <c r="F256" s="79"/>
      <c r="G256" s="80"/>
    </row>
    <row r="257" spans="2:7" ht="15" customHeight="1" x14ac:dyDescent="0.25">
      <c r="B257" s="77"/>
      <c r="C257" s="78"/>
      <c r="D257" s="78"/>
      <c r="E257" s="75"/>
      <c r="F257" s="79"/>
      <c r="G257" s="80"/>
    </row>
    <row r="258" spans="2:7" ht="15" customHeight="1" x14ac:dyDescent="0.25">
      <c r="B258" s="77"/>
      <c r="C258" s="78"/>
      <c r="D258" s="78"/>
      <c r="E258" s="75"/>
      <c r="F258" s="79"/>
      <c r="G258" s="80"/>
    </row>
    <row r="259" spans="2:7" ht="15" customHeight="1" x14ac:dyDescent="0.25">
      <c r="B259" s="77"/>
      <c r="C259" s="78"/>
      <c r="D259" s="78"/>
      <c r="E259" s="75"/>
      <c r="F259" s="79"/>
      <c r="G259" s="80"/>
    </row>
    <row r="260" spans="2:7" ht="15" customHeight="1" x14ac:dyDescent="0.25">
      <c r="B260" s="77"/>
      <c r="C260" s="78"/>
      <c r="D260" s="78"/>
      <c r="E260" s="75"/>
      <c r="F260" s="79"/>
      <c r="G260" s="80"/>
    </row>
    <row r="261" spans="2:7" ht="15" customHeight="1" x14ac:dyDescent="0.25">
      <c r="B261" s="77"/>
      <c r="C261" s="78"/>
      <c r="D261" s="78"/>
      <c r="E261" s="75"/>
      <c r="F261" s="79"/>
      <c r="G261" s="80"/>
    </row>
    <row r="262" spans="2:7" ht="15" customHeight="1" x14ac:dyDescent="0.25">
      <c r="B262" s="77"/>
      <c r="C262" s="78"/>
      <c r="D262" s="78"/>
      <c r="E262" s="75"/>
      <c r="F262" s="79"/>
      <c r="G262" s="80"/>
    </row>
    <row r="263" spans="2:7" ht="15" customHeight="1" x14ac:dyDescent="0.25">
      <c r="B263" s="77"/>
      <c r="C263" s="78"/>
      <c r="D263" s="78"/>
      <c r="E263" s="75"/>
      <c r="F263" s="79"/>
      <c r="G263" s="80"/>
    </row>
    <row r="264" spans="2:7" ht="15" customHeight="1" x14ac:dyDescent="0.25">
      <c r="B264" s="77"/>
      <c r="C264" s="78"/>
      <c r="D264" s="78"/>
      <c r="E264" s="75"/>
      <c r="F264" s="79"/>
      <c r="G264" s="80"/>
    </row>
    <row r="265" spans="2:7" ht="15" customHeight="1" x14ac:dyDescent="0.25">
      <c r="B265" s="77"/>
      <c r="C265" s="78"/>
      <c r="D265" s="78"/>
      <c r="E265" s="75"/>
      <c r="F265" s="79"/>
      <c r="G265" s="80"/>
    </row>
    <row r="266" spans="2:7" ht="15" customHeight="1" x14ac:dyDescent="0.25">
      <c r="B266" s="77"/>
      <c r="C266" s="78"/>
      <c r="D266" s="78"/>
      <c r="E266" s="75"/>
      <c r="F266" s="79"/>
      <c r="G266" s="80"/>
    </row>
    <row r="267" spans="2:7" ht="15" customHeight="1" x14ac:dyDescent="0.25">
      <c r="B267" s="77"/>
      <c r="C267" s="78"/>
      <c r="D267" s="78"/>
      <c r="E267" s="75"/>
      <c r="F267" s="79"/>
      <c r="G267" s="80"/>
    </row>
    <row r="268" spans="2:7" ht="15.75" customHeight="1" thickBot="1" x14ac:dyDescent="0.3">
      <c r="B268" s="77"/>
      <c r="C268" s="81"/>
      <c r="D268" s="81"/>
      <c r="E268" s="82"/>
      <c r="F268" s="83"/>
      <c r="G268" s="84"/>
    </row>
  </sheetData>
  <mergeCells count="1">
    <mergeCell ref="D1:D9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17AA-43B3-40A2-9710-A61FF9CC7545}">
  <sheetPr codeName="Sheet3"/>
  <dimension ref="B1:G270"/>
  <sheetViews>
    <sheetView topLeftCell="A30" workbookViewId="0">
      <selection activeCell="I12" sqref="I12"/>
    </sheetView>
  </sheetViews>
  <sheetFormatPr defaultRowHeight="15" x14ac:dyDescent="0.25"/>
  <cols>
    <col min="2" max="2" width="26.140625" style="17" bestFit="1" customWidth="1"/>
    <col min="3" max="3" width="10.7109375" bestFit="1" customWidth="1"/>
    <col min="4" max="4" width="68.5703125" customWidth="1"/>
    <col min="5" max="5" width="9.5703125" style="13" bestFit="1" customWidth="1"/>
    <col min="6" max="6" width="14.5703125" style="7" bestFit="1" customWidth="1"/>
    <col min="7" max="7" width="15.85546875" style="28" bestFit="1" customWidth="1"/>
  </cols>
  <sheetData>
    <row r="1" spans="2:7" ht="19.5" customHeight="1" x14ac:dyDescent="0.25">
      <c r="B1" s="38"/>
      <c r="C1" s="34"/>
      <c r="D1" s="150" t="s">
        <v>110</v>
      </c>
      <c r="E1" s="8"/>
      <c r="F1" s="18"/>
      <c r="G1" s="23"/>
    </row>
    <row r="2" spans="2:7" ht="15" customHeight="1" x14ac:dyDescent="0.25">
      <c r="B2" s="39"/>
      <c r="C2" s="35"/>
      <c r="D2" s="151"/>
      <c r="E2" s="9"/>
      <c r="F2" s="19"/>
      <c r="G2" s="24"/>
    </row>
    <row r="3" spans="2:7" ht="15" customHeight="1" x14ac:dyDescent="0.25">
      <c r="B3" s="39"/>
      <c r="C3" s="35"/>
      <c r="D3" s="151"/>
      <c r="E3" s="9"/>
      <c r="F3" s="19"/>
      <c r="G3" s="24"/>
    </row>
    <row r="4" spans="2:7" ht="15" customHeight="1" x14ac:dyDescent="0.25">
      <c r="B4" s="39"/>
      <c r="C4" s="35"/>
      <c r="D4" s="151"/>
      <c r="E4" s="9"/>
      <c r="F4" s="19"/>
      <c r="G4" s="24"/>
    </row>
    <row r="5" spans="2:7" ht="15" customHeight="1" x14ac:dyDescent="0.25">
      <c r="B5" s="39"/>
      <c r="C5" s="35"/>
      <c r="D5" s="151"/>
      <c r="E5" s="9"/>
      <c r="F5" s="19"/>
      <c r="G5" s="24"/>
    </row>
    <row r="6" spans="2:7" ht="18.75" x14ac:dyDescent="0.3">
      <c r="B6" s="39"/>
      <c r="C6" s="35"/>
      <c r="D6" s="151"/>
      <c r="E6" s="9"/>
      <c r="F6" s="20"/>
      <c r="G6" s="24"/>
    </row>
    <row r="7" spans="2:7" ht="15" customHeight="1" x14ac:dyDescent="0.25">
      <c r="B7" s="39"/>
      <c r="C7" s="35"/>
      <c r="D7" s="151"/>
      <c r="E7" s="9"/>
      <c r="F7" s="19"/>
      <c r="G7" s="24"/>
    </row>
    <row r="8" spans="2:7" ht="15" customHeight="1" x14ac:dyDescent="0.25">
      <c r="B8" s="39"/>
      <c r="C8" s="35"/>
      <c r="D8" s="151"/>
      <c r="E8" s="9"/>
      <c r="F8" s="19"/>
      <c r="G8" s="24"/>
    </row>
    <row r="9" spans="2:7" ht="15" customHeight="1" x14ac:dyDescent="0.25">
      <c r="B9" s="39"/>
      <c r="C9" s="35"/>
      <c r="D9" s="151"/>
      <c r="E9" s="9"/>
      <c r="F9" s="19"/>
      <c r="G9" s="24"/>
    </row>
    <row r="10" spans="2:7" ht="15.75" customHeight="1" thickBot="1" x14ac:dyDescent="0.3">
      <c r="B10" s="14"/>
      <c r="C10" s="5"/>
      <c r="D10" s="5"/>
      <c r="E10" s="9"/>
      <c r="F10" s="19"/>
      <c r="G10" s="24"/>
    </row>
    <row r="11" spans="2:7" ht="18.75" customHeight="1" thickBot="1" x14ac:dyDescent="0.35">
      <c r="B11" s="15" t="s">
        <v>0</v>
      </c>
      <c r="C11" s="3" t="s">
        <v>5</v>
      </c>
      <c r="D11" s="3" t="s">
        <v>1</v>
      </c>
      <c r="E11" s="10" t="s">
        <v>2</v>
      </c>
      <c r="F11" s="6" t="s">
        <v>3</v>
      </c>
      <c r="G11" s="25" t="s">
        <v>4</v>
      </c>
    </row>
    <row r="12" spans="2:7" ht="19.5" customHeight="1" x14ac:dyDescent="0.3">
      <c r="B12" s="29"/>
      <c r="C12" s="30"/>
      <c r="D12" s="30"/>
      <c r="E12" s="31"/>
      <c r="F12" s="32"/>
      <c r="G12" s="33">
        <v>1396479</v>
      </c>
    </row>
    <row r="13" spans="2:7" ht="19.5" customHeight="1" x14ac:dyDescent="0.25">
      <c r="B13" s="36">
        <v>44294</v>
      </c>
      <c r="C13" s="37"/>
      <c r="D13" s="40"/>
      <c r="E13" s="40"/>
      <c r="F13" s="42">
        <v>100000</v>
      </c>
      <c r="G13" s="41">
        <f>G12+E13-F13</f>
        <v>1296479</v>
      </c>
    </row>
    <row r="14" spans="2:7" ht="19.5" customHeight="1" x14ac:dyDescent="0.25">
      <c r="B14" s="36">
        <v>44324</v>
      </c>
      <c r="C14" s="37">
        <v>73</v>
      </c>
      <c r="D14" s="40" t="s">
        <v>74</v>
      </c>
      <c r="E14" s="11">
        <v>141470</v>
      </c>
      <c r="F14" s="42"/>
      <c r="G14" s="41">
        <f>G13+E14-F14</f>
        <v>1437949</v>
      </c>
    </row>
    <row r="15" spans="2:7" s="67" customFormat="1" ht="15" customHeight="1" x14ac:dyDescent="0.25">
      <c r="B15" s="69">
        <v>44324</v>
      </c>
      <c r="C15" s="70">
        <v>74</v>
      </c>
      <c r="D15" s="71" t="s">
        <v>75</v>
      </c>
      <c r="E15" s="75">
        <v>14400</v>
      </c>
      <c r="F15" s="73"/>
      <c r="G15" s="76">
        <f>G14+E15-F15</f>
        <v>1452349</v>
      </c>
    </row>
    <row r="16" spans="2:7" ht="15" customHeight="1" x14ac:dyDescent="0.25">
      <c r="B16" s="36">
        <v>44324</v>
      </c>
      <c r="C16" s="37">
        <v>75</v>
      </c>
      <c r="D16" s="40" t="s">
        <v>76</v>
      </c>
      <c r="E16" s="11">
        <v>148546.25</v>
      </c>
      <c r="F16" s="11"/>
      <c r="G16" s="41">
        <f t="shared" ref="G16:G18" si="0">G15+E16-F16</f>
        <v>1600895.25</v>
      </c>
    </row>
    <row r="17" spans="2:7" ht="15" customHeight="1" x14ac:dyDescent="0.25">
      <c r="B17" s="36">
        <v>44477</v>
      </c>
      <c r="C17" s="37"/>
      <c r="D17" s="40"/>
      <c r="E17" s="11"/>
      <c r="F17" s="42">
        <v>300000</v>
      </c>
      <c r="G17" s="41">
        <f t="shared" si="0"/>
        <v>1300895.25</v>
      </c>
    </row>
    <row r="18" spans="2:7" ht="15" customHeight="1" x14ac:dyDescent="0.25">
      <c r="B18" s="36" t="s">
        <v>77</v>
      </c>
      <c r="C18" s="37">
        <v>83</v>
      </c>
      <c r="D18" s="40" t="s">
        <v>78</v>
      </c>
      <c r="E18" s="11">
        <v>65824</v>
      </c>
      <c r="F18" s="42"/>
      <c r="G18" s="41">
        <f t="shared" si="0"/>
        <v>1366719.25</v>
      </c>
    </row>
    <row r="19" spans="2:7" ht="15" customHeight="1" x14ac:dyDescent="0.25">
      <c r="B19" s="36" t="s">
        <v>77</v>
      </c>
      <c r="C19" s="37">
        <v>83</v>
      </c>
      <c r="D19" s="40" t="s">
        <v>79</v>
      </c>
      <c r="E19" s="11">
        <v>5050</v>
      </c>
      <c r="F19" s="42"/>
      <c r="G19" s="41">
        <f>G18+E19-F19</f>
        <v>1371769.25</v>
      </c>
    </row>
    <row r="20" spans="2:7" ht="15" customHeight="1" x14ac:dyDescent="0.25">
      <c r="B20" s="36" t="s">
        <v>77</v>
      </c>
      <c r="C20" s="37">
        <v>84</v>
      </c>
      <c r="D20" s="40" t="s">
        <v>82</v>
      </c>
      <c r="E20" s="11">
        <v>51817</v>
      </c>
      <c r="F20" s="42"/>
      <c r="G20" s="43">
        <f>G19+E20-F20</f>
        <v>1423586.25</v>
      </c>
    </row>
    <row r="21" spans="2:7" ht="15" customHeight="1" x14ac:dyDescent="0.25">
      <c r="B21" s="36" t="s">
        <v>77</v>
      </c>
      <c r="C21" s="37">
        <v>84</v>
      </c>
      <c r="D21" s="40" t="s">
        <v>83</v>
      </c>
      <c r="E21" s="11">
        <v>42750</v>
      </c>
      <c r="F21" s="42"/>
      <c r="G21" s="43">
        <f t="shared" ref="G21:G47" si="1">G20+E21-F21</f>
        <v>1466336.25</v>
      </c>
    </row>
    <row r="22" spans="2:7" ht="15" customHeight="1" x14ac:dyDescent="0.25">
      <c r="B22" s="36" t="s">
        <v>77</v>
      </c>
      <c r="C22" s="37">
        <v>84</v>
      </c>
      <c r="D22" s="40" t="s">
        <v>84</v>
      </c>
      <c r="E22" s="11">
        <v>6400</v>
      </c>
      <c r="F22" s="42"/>
      <c r="G22" s="43">
        <f t="shared" si="1"/>
        <v>1472736.25</v>
      </c>
    </row>
    <row r="23" spans="2:7" ht="15" customHeight="1" x14ac:dyDescent="0.25">
      <c r="B23" s="36" t="s">
        <v>77</v>
      </c>
      <c r="C23" s="37">
        <v>85</v>
      </c>
      <c r="D23" s="40" t="s">
        <v>81</v>
      </c>
      <c r="E23" s="11">
        <v>54095</v>
      </c>
      <c r="F23" s="42"/>
      <c r="G23" s="43">
        <f t="shared" si="1"/>
        <v>1526831.25</v>
      </c>
    </row>
    <row r="24" spans="2:7" ht="15" customHeight="1" x14ac:dyDescent="0.25">
      <c r="B24" s="36" t="s">
        <v>77</v>
      </c>
      <c r="C24" s="37">
        <v>86</v>
      </c>
      <c r="D24" s="40" t="s">
        <v>80</v>
      </c>
      <c r="E24" s="11">
        <v>6400</v>
      </c>
      <c r="F24" s="42"/>
      <c r="G24" s="43">
        <f>G23+E24-F24</f>
        <v>1533231.25</v>
      </c>
    </row>
    <row r="25" spans="2:7" ht="15" customHeight="1" x14ac:dyDescent="0.25">
      <c r="B25" s="36" t="s">
        <v>85</v>
      </c>
      <c r="C25" s="37"/>
      <c r="D25" s="40"/>
      <c r="E25" s="11"/>
      <c r="F25" s="42">
        <v>100000</v>
      </c>
      <c r="G25" s="43">
        <f t="shared" si="1"/>
        <v>1433231.25</v>
      </c>
    </row>
    <row r="26" spans="2:7" ht="15" customHeight="1" x14ac:dyDescent="0.25">
      <c r="B26" s="36" t="s">
        <v>85</v>
      </c>
      <c r="C26" s="37"/>
      <c r="D26" s="40"/>
      <c r="E26" s="11"/>
      <c r="F26" s="42">
        <v>100000</v>
      </c>
      <c r="G26" s="43">
        <f t="shared" si="1"/>
        <v>1333231.25</v>
      </c>
    </row>
    <row r="27" spans="2:7" ht="15" customHeight="1" x14ac:dyDescent="0.25">
      <c r="B27" s="36" t="s">
        <v>86</v>
      </c>
      <c r="C27" s="37">
        <v>87</v>
      </c>
      <c r="D27" s="40" t="s">
        <v>87</v>
      </c>
      <c r="E27" s="11">
        <v>35495</v>
      </c>
      <c r="F27" s="42"/>
      <c r="G27" s="43">
        <f t="shared" si="1"/>
        <v>1368726.25</v>
      </c>
    </row>
    <row r="28" spans="2:7" ht="15" customHeight="1" x14ac:dyDescent="0.25">
      <c r="B28" s="36" t="s">
        <v>86</v>
      </c>
      <c r="C28" s="37">
        <v>88</v>
      </c>
      <c r="D28" s="40" t="s">
        <v>88</v>
      </c>
      <c r="E28" s="11">
        <v>126080</v>
      </c>
      <c r="F28" s="42"/>
      <c r="G28" s="43">
        <f t="shared" si="1"/>
        <v>1494806.25</v>
      </c>
    </row>
    <row r="29" spans="2:7" ht="15" customHeight="1" x14ac:dyDescent="0.25">
      <c r="B29" s="36" t="s">
        <v>86</v>
      </c>
      <c r="C29" s="37">
        <v>88</v>
      </c>
      <c r="D29" s="40" t="s">
        <v>89</v>
      </c>
      <c r="E29" s="11">
        <v>20500</v>
      </c>
      <c r="F29" s="42"/>
      <c r="G29" s="43">
        <f t="shared" si="1"/>
        <v>1515306.25</v>
      </c>
    </row>
    <row r="30" spans="2:7" ht="15" customHeight="1" x14ac:dyDescent="0.25">
      <c r="B30" s="36" t="s">
        <v>86</v>
      </c>
      <c r="C30" s="37">
        <v>89</v>
      </c>
      <c r="D30" s="40" t="s">
        <v>111</v>
      </c>
      <c r="E30" s="11">
        <v>39325</v>
      </c>
      <c r="F30" s="42"/>
      <c r="G30" s="43">
        <f>G29+E30-F30</f>
        <v>1554631.25</v>
      </c>
    </row>
    <row r="31" spans="2:7" ht="15" customHeight="1" x14ac:dyDescent="0.25">
      <c r="B31" s="36" t="s">
        <v>86</v>
      </c>
      <c r="C31" s="37">
        <v>89</v>
      </c>
      <c r="D31" s="40" t="s">
        <v>90</v>
      </c>
      <c r="E31" s="11">
        <v>3100</v>
      </c>
      <c r="F31" s="42"/>
      <c r="G31" s="43">
        <f t="shared" si="1"/>
        <v>1557731.25</v>
      </c>
    </row>
    <row r="32" spans="2:7" ht="15" customHeight="1" x14ac:dyDescent="0.25">
      <c r="B32" s="36" t="s">
        <v>86</v>
      </c>
      <c r="C32" s="37">
        <v>90</v>
      </c>
      <c r="D32" s="40" t="s">
        <v>91</v>
      </c>
      <c r="E32" s="11">
        <v>36400</v>
      </c>
      <c r="F32" s="42"/>
      <c r="G32" s="43">
        <f t="shared" si="1"/>
        <v>1594131.25</v>
      </c>
    </row>
    <row r="33" spans="2:7" ht="15" customHeight="1" x14ac:dyDescent="0.25">
      <c r="B33" s="36" t="s">
        <v>96</v>
      </c>
      <c r="C33" s="37">
        <v>91</v>
      </c>
      <c r="D33" s="40" t="s">
        <v>93</v>
      </c>
      <c r="E33" s="11">
        <v>179700</v>
      </c>
      <c r="F33" s="42"/>
      <c r="G33" s="43">
        <f t="shared" si="1"/>
        <v>1773831.25</v>
      </c>
    </row>
    <row r="34" spans="2:7" ht="15" customHeight="1" x14ac:dyDescent="0.25">
      <c r="B34" s="36" t="s">
        <v>96</v>
      </c>
      <c r="C34" s="37">
        <v>92</v>
      </c>
      <c r="D34" s="40" t="s">
        <v>95</v>
      </c>
      <c r="E34" s="11">
        <v>49600</v>
      </c>
      <c r="F34" s="42"/>
      <c r="G34" s="43">
        <f t="shared" si="1"/>
        <v>1823431.25</v>
      </c>
    </row>
    <row r="35" spans="2:7" ht="15" customHeight="1" x14ac:dyDescent="0.25">
      <c r="B35" s="36" t="s">
        <v>96</v>
      </c>
      <c r="C35" s="37">
        <v>92</v>
      </c>
      <c r="D35" s="40" t="s">
        <v>94</v>
      </c>
      <c r="E35" s="11">
        <v>32000</v>
      </c>
      <c r="F35" s="42"/>
      <c r="G35" s="43">
        <f t="shared" si="1"/>
        <v>1855431.25</v>
      </c>
    </row>
    <row r="36" spans="2:7" ht="15" customHeight="1" x14ac:dyDescent="0.25">
      <c r="B36" s="36" t="s">
        <v>97</v>
      </c>
      <c r="C36" s="37">
        <v>93</v>
      </c>
      <c r="D36" s="40" t="s">
        <v>98</v>
      </c>
      <c r="E36" s="11">
        <v>9350</v>
      </c>
      <c r="F36" s="42"/>
      <c r="G36" s="43">
        <f t="shared" si="1"/>
        <v>1864781.25</v>
      </c>
    </row>
    <row r="37" spans="2:7" ht="15" customHeight="1" x14ac:dyDescent="0.25">
      <c r="B37" s="36" t="s">
        <v>97</v>
      </c>
      <c r="C37" s="37">
        <v>94</v>
      </c>
      <c r="D37" s="40" t="s">
        <v>99</v>
      </c>
      <c r="E37" s="11">
        <v>13250</v>
      </c>
      <c r="F37" s="42"/>
      <c r="G37" s="43">
        <f t="shared" si="1"/>
        <v>1878031.25</v>
      </c>
    </row>
    <row r="38" spans="2:7" ht="15" customHeight="1" x14ac:dyDescent="0.25">
      <c r="B38" s="36" t="s">
        <v>100</v>
      </c>
      <c r="C38" s="37"/>
      <c r="D38" s="40"/>
      <c r="E38" s="11"/>
      <c r="F38" s="42">
        <v>300000</v>
      </c>
      <c r="G38" s="43">
        <f t="shared" si="1"/>
        <v>1578031.25</v>
      </c>
    </row>
    <row r="39" spans="2:7" ht="15" customHeight="1" x14ac:dyDescent="0.25">
      <c r="B39" s="36" t="s">
        <v>101</v>
      </c>
      <c r="C39" s="37">
        <v>95</v>
      </c>
      <c r="D39" s="40" t="s">
        <v>102</v>
      </c>
      <c r="E39" s="11">
        <v>64000</v>
      </c>
      <c r="F39" s="42"/>
      <c r="G39" s="43">
        <f t="shared" si="1"/>
        <v>1642031.25</v>
      </c>
    </row>
    <row r="40" spans="2:7" ht="15" customHeight="1" x14ac:dyDescent="0.25">
      <c r="B40" s="36" t="s">
        <v>101</v>
      </c>
      <c r="C40" s="37">
        <v>95</v>
      </c>
      <c r="D40" s="40" t="s">
        <v>103</v>
      </c>
      <c r="E40" s="11">
        <v>5000</v>
      </c>
      <c r="F40" s="42"/>
      <c r="G40" s="43">
        <f t="shared" si="1"/>
        <v>1647031.25</v>
      </c>
    </row>
    <row r="41" spans="2:7" ht="15" customHeight="1" x14ac:dyDescent="0.25">
      <c r="B41" s="36" t="s">
        <v>101</v>
      </c>
      <c r="C41" s="37">
        <v>96</v>
      </c>
      <c r="D41" s="40" t="s">
        <v>104</v>
      </c>
      <c r="E41" s="11">
        <v>32960</v>
      </c>
      <c r="F41" s="42"/>
      <c r="G41" s="43">
        <f t="shared" si="1"/>
        <v>1679991.25</v>
      </c>
    </row>
    <row r="42" spans="2:7" ht="15" customHeight="1" x14ac:dyDescent="0.25">
      <c r="B42" s="36" t="s">
        <v>101</v>
      </c>
      <c r="C42" s="37">
        <v>97</v>
      </c>
      <c r="D42" s="40" t="s">
        <v>105</v>
      </c>
      <c r="E42" s="11">
        <v>21760</v>
      </c>
      <c r="F42" s="42"/>
      <c r="G42" s="43">
        <f t="shared" si="1"/>
        <v>1701751.25</v>
      </c>
    </row>
    <row r="43" spans="2:7" ht="15" customHeight="1" x14ac:dyDescent="0.25">
      <c r="B43" s="36" t="s">
        <v>101</v>
      </c>
      <c r="C43" s="37">
        <v>97</v>
      </c>
      <c r="D43" s="40" t="s">
        <v>106</v>
      </c>
      <c r="E43" s="11">
        <v>2500</v>
      </c>
      <c r="F43" s="42"/>
      <c r="G43" s="43">
        <f t="shared" si="1"/>
        <v>1704251.25</v>
      </c>
    </row>
    <row r="44" spans="2:7" ht="15" customHeight="1" x14ac:dyDescent="0.25">
      <c r="B44" s="36" t="s">
        <v>101</v>
      </c>
      <c r="C44" s="37">
        <v>98</v>
      </c>
      <c r="D44" s="40" t="s">
        <v>107</v>
      </c>
      <c r="E44" s="11">
        <v>15640</v>
      </c>
      <c r="F44" s="42"/>
      <c r="G44" s="43">
        <f t="shared" si="1"/>
        <v>1719891.25</v>
      </c>
    </row>
    <row r="45" spans="2:7" ht="15" customHeight="1" x14ac:dyDescent="0.25">
      <c r="B45" s="36" t="s">
        <v>101</v>
      </c>
      <c r="C45" s="37">
        <v>100</v>
      </c>
      <c r="D45" s="40" t="s">
        <v>112</v>
      </c>
      <c r="E45" s="11">
        <v>8400</v>
      </c>
      <c r="F45" s="42"/>
      <c r="G45" s="43">
        <f t="shared" si="1"/>
        <v>1728291.25</v>
      </c>
    </row>
    <row r="46" spans="2:7" ht="15" customHeight="1" x14ac:dyDescent="0.25">
      <c r="B46" s="36" t="s">
        <v>101</v>
      </c>
      <c r="C46" s="37">
        <v>151</v>
      </c>
      <c r="D46" s="40" t="s">
        <v>108</v>
      </c>
      <c r="E46" s="11">
        <v>4400</v>
      </c>
      <c r="F46" s="42"/>
      <c r="G46" s="43">
        <f t="shared" si="1"/>
        <v>1732691.25</v>
      </c>
    </row>
    <row r="47" spans="2:7" ht="15" customHeight="1" x14ac:dyDescent="0.25">
      <c r="B47" s="36"/>
      <c r="C47" s="37"/>
      <c r="D47" s="40"/>
      <c r="E47" s="11"/>
      <c r="F47" s="42"/>
      <c r="G47" s="43">
        <f t="shared" si="1"/>
        <v>1732691.25</v>
      </c>
    </row>
    <row r="48" spans="2:7" ht="15" customHeight="1" x14ac:dyDescent="0.25">
      <c r="B48" s="36"/>
      <c r="C48" s="37"/>
      <c r="D48" s="40"/>
      <c r="E48" s="11"/>
      <c r="F48" s="42"/>
      <c r="G48" s="43"/>
    </row>
    <row r="49" spans="2:7" ht="15" customHeight="1" x14ac:dyDescent="0.25">
      <c r="B49" s="36"/>
      <c r="C49" s="37"/>
      <c r="D49" s="40"/>
      <c r="E49" s="11"/>
      <c r="F49" s="42"/>
      <c r="G49" s="43"/>
    </row>
    <row r="50" spans="2:7" ht="15" customHeight="1" x14ac:dyDescent="0.25">
      <c r="B50" s="36"/>
      <c r="C50" s="37"/>
      <c r="D50" s="40"/>
      <c r="E50" s="11"/>
      <c r="F50" s="42"/>
      <c r="G50" s="43"/>
    </row>
    <row r="51" spans="2:7" ht="15" customHeight="1" x14ac:dyDescent="0.25">
      <c r="B51" s="36"/>
      <c r="C51" s="37"/>
      <c r="D51" s="40"/>
      <c r="E51" s="11"/>
      <c r="F51" s="42"/>
      <c r="G51" s="43"/>
    </row>
    <row r="52" spans="2:7" ht="15" customHeight="1" x14ac:dyDescent="0.25">
      <c r="B52" s="36"/>
      <c r="C52" s="37"/>
      <c r="D52" s="40"/>
      <c r="E52" s="11"/>
      <c r="F52" s="42"/>
      <c r="G52" s="43"/>
    </row>
    <row r="53" spans="2:7" ht="15" customHeight="1" x14ac:dyDescent="0.25">
      <c r="B53" s="36"/>
      <c r="C53" s="37"/>
      <c r="D53" s="40"/>
      <c r="E53" s="11"/>
      <c r="F53" s="42"/>
      <c r="G53" s="43"/>
    </row>
    <row r="54" spans="2:7" ht="15" customHeight="1" x14ac:dyDescent="0.25">
      <c r="B54" s="36"/>
      <c r="C54" s="37"/>
      <c r="D54" s="40"/>
      <c r="E54" s="11"/>
      <c r="F54" s="42"/>
      <c r="G54" s="43"/>
    </row>
    <row r="55" spans="2:7" ht="15" customHeight="1" x14ac:dyDescent="0.25">
      <c r="B55" s="36"/>
      <c r="C55" s="37"/>
      <c r="D55" s="40"/>
      <c r="E55" s="11"/>
      <c r="F55" s="42"/>
      <c r="G55" s="43"/>
    </row>
    <row r="56" spans="2:7" ht="15" customHeight="1" x14ac:dyDescent="0.25">
      <c r="B56" s="36"/>
      <c r="C56" s="37"/>
      <c r="D56" s="40"/>
      <c r="E56" s="11"/>
      <c r="F56" s="42"/>
      <c r="G56" s="43"/>
    </row>
    <row r="57" spans="2:7" ht="15" customHeight="1" x14ac:dyDescent="0.25">
      <c r="B57" s="36"/>
      <c r="C57" s="37"/>
      <c r="D57" s="40"/>
      <c r="E57" s="11"/>
      <c r="F57" s="42"/>
      <c r="G57" s="43"/>
    </row>
    <row r="58" spans="2:7" ht="15" customHeight="1" x14ac:dyDescent="0.25">
      <c r="B58" s="36"/>
      <c r="C58" s="37"/>
      <c r="D58" s="40"/>
      <c r="E58" s="11"/>
      <c r="F58" s="42"/>
      <c r="G58" s="43"/>
    </row>
    <row r="59" spans="2:7" ht="15" customHeight="1" x14ac:dyDescent="0.25">
      <c r="B59" s="36"/>
      <c r="C59" s="37"/>
      <c r="D59" s="40"/>
      <c r="E59" s="11"/>
      <c r="F59" s="42"/>
      <c r="G59" s="43"/>
    </row>
    <row r="60" spans="2:7" ht="15" customHeight="1" x14ac:dyDescent="0.25">
      <c r="B60" s="36"/>
      <c r="C60" s="37"/>
      <c r="D60" s="40"/>
      <c r="E60" s="11"/>
      <c r="F60" s="42"/>
      <c r="G60" s="43"/>
    </row>
    <row r="61" spans="2:7" ht="15" customHeight="1" x14ac:dyDescent="0.25">
      <c r="B61" s="36"/>
      <c r="C61" s="37"/>
      <c r="D61" s="40"/>
      <c r="E61" s="11"/>
      <c r="F61" s="42"/>
      <c r="G61" s="43"/>
    </row>
    <row r="62" spans="2:7" ht="15" customHeight="1" x14ac:dyDescent="0.25">
      <c r="B62" s="36"/>
      <c r="C62" s="1"/>
      <c r="D62" s="2"/>
      <c r="E62" s="11"/>
      <c r="F62" s="21"/>
      <c r="G62" s="26"/>
    </row>
    <row r="63" spans="2:7" ht="15" customHeight="1" x14ac:dyDescent="0.25">
      <c r="B63" s="36"/>
      <c r="C63" s="1"/>
      <c r="D63" s="2"/>
      <c r="E63" s="11"/>
      <c r="F63" s="21"/>
      <c r="G63" s="26"/>
    </row>
    <row r="64" spans="2:7" ht="15" customHeight="1" x14ac:dyDescent="0.25">
      <c r="B64" s="16"/>
      <c r="C64" s="1"/>
      <c r="D64" s="2"/>
      <c r="E64" s="11"/>
      <c r="F64" s="21"/>
      <c r="G64" s="26"/>
    </row>
    <row r="65" spans="2:7" ht="15" customHeight="1" x14ac:dyDescent="0.25">
      <c r="B65" s="16"/>
      <c r="C65" s="1"/>
      <c r="D65" s="2"/>
      <c r="E65" s="11"/>
      <c r="F65" s="21"/>
      <c r="G65" s="26"/>
    </row>
    <row r="66" spans="2:7" ht="15" customHeight="1" x14ac:dyDescent="0.25">
      <c r="B66" s="16"/>
      <c r="C66" s="1"/>
      <c r="D66" s="2"/>
      <c r="E66" s="11"/>
      <c r="F66" s="21"/>
      <c r="G66" s="26"/>
    </row>
    <row r="67" spans="2:7" ht="15" customHeight="1" x14ac:dyDescent="0.25">
      <c r="B67" s="16"/>
      <c r="C67" s="1"/>
      <c r="D67" s="2"/>
      <c r="E67" s="11"/>
      <c r="F67" s="21"/>
      <c r="G67" s="26"/>
    </row>
    <row r="68" spans="2:7" ht="15" customHeight="1" x14ac:dyDescent="0.25">
      <c r="B68" s="16"/>
      <c r="C68" s="1"/>
      <c r="D68" s="2"/>
      <c r="E68" s="11"/>
      <c r="F68" s="21"/>
      <c r="G68" s="26"/>
    </row>
    <row r="69" spans="2:7" ht="15" customHeight="1" x14ac:dyDescent="0.25">
      <c r="B69" s="16"/>
      <c r="C69" s="1"/>
      <c r="D69" s="2"/>
      <c r="E69" s="11"/>
      <c r="F69" s="21"/>
      <c r="G69" s="26"/>
    </row>
    <row r="70" spans="2:7" ht="15" customHeight="1" x14ac:dyDescent="0.25">
      <c r="B70" s="16"/>
      <c r="C70" s="1"/>
      <c r="D70" s="2"/>
      <c r="E70" s="11"/>
      <c r="F70" s="21"/>
      <c r="G70" s="26"/>
    </row>
    <row r="71" spans="2:7" ht="15" customHeight="1" x14ac:dyDescent="0.25">
      <c r="B71" s="16"/>
      <c r="C71" s="1"/>
      <c r="D71" s="2"/>
      <c r="E71" s="11"/>
      <c r="F71" s="21"/>
      <c r="G71" s="26"/>
    </row>
    <row r="72" spans="2:7" ht="15" customHeight="1" x14ac:dyDescent="0.25">
      <c r="B72" s="16"/>
      <c r="C72" s="1"/>
      <c r="D72" s="2"/>
      <c r="E72" s="11"/>
      <c r="F72" s="21"/>
      <c r="G72" s="26"/>
    </row>
    <row r="73" spans="2:7" ht="15" customHeight="1" x14ac:dyDescent="0.25">
      <c r="B73" s="16"/>
      <c r="C73" s="1"/>
      <c r="D73" s="2"/>
      <c r="E73" s="11"/>
      <c r="F73" s="21"/>
      <c r="G73" s="26"/>
    </row>
    <row r="74" spans="2:7" ht="15" customHeight="1" x14ac:dyDescent="0.25">
      <c r="B74" s="16"/>
      <c r="C74" s="1"/>
      <c r="D74" s="2"/>
      <c r="E74" s="11"/>
      <c r="F74" s="21"/>
      <c r="G74" s="26"/>
    </row>
    <row r="75" spans="2:7" ht="15" customHeight="1" x14ac:dyDescent="0.25">
      <c r="B75" s="16"/>
      <c r="C75" s="1"/>
      <c r="D75" s="2"/>
      <c r="E75" s="11"/>
      <c r="F75" s="21"/>
      <c r="G75" s="26"/>
    </row>
    <row r="76" spans="2:7" ht="15" customHeight="1" x14ac:dyDescent="0.25">
      <c r="B76" s="16"/>
      <c r="C76" s="1"/>
      <c r="D76" s="2"/>
      <c r="E76" s="11"/>
      <c r="F76" s="21"/>
      <c r="G76" s="26"/>
    </row>
    <row r="77" spans="2:7" ht="15" customHeight="1" x14ac:dyDescent="0.25">
      <c r="B77" s="16"/>
      <c r="C77" s="1"/>
      <c r="D77" s="2"/>
      <c r="E77" s="11"/>
      <c r="F77" s="21"/>
      <c r="G77" s="26"/>
    </row>
    <row r="78" spans="2:7" ht="15" customHeight="1" x14ac:dyDescent="0.25">
      <c r="B78" s="16"/>
      <c r="C78" s="1"/>
      <c r="D78" s="2"/>
      <c r="E78" s="11"/>
      <c r="F78" s="21"/>
      <c r="G78" s="26"/>
    </row>
    <row r="79" spans="2:7" ht="15" customHeight="1" x14ac:dyDescent="0.25">
      <c r="B79" s="16"/>
      <c r="C79" s="1"/>
      <c r="D79" s="2"/>
      <c r="E79" s="11"/>
      <c r="F79" s="21"/>
      <c r="G79" s="26"/>
    </row>
    <row r="80" spans="2:7" ht="15" customHeight="1" x14ac:dyDescent="0.25">
      <c r="B80" s="16"/>
      <c r="C80" s="1"/>
      <c r="D80" s="2"/>
      <c r="E80" s="11"/>
      <c r="F80" s="21"/>
      <c r="G80" s="26"/>
    </row>
    <row r="81" spans="2:7" ht="15" customHeight="1" x14ac:dyDescent="0.25">
      <c r="B81" s="16"/>
      <c r="C81" s="1"/>
      <c r="D81" s="2"/>
      <c r="E81" s="11"/>
      <c r="F81" s="21"/>
      <c r="G81" s="26"/>
    </row>
    <row r="82" spans="2:7" ht="15" customHeight="1" x14ac:dyDescent="0.25">
      <c r="B82" s="16"/>
      <c r="C82" s="1"/>
      <c r="D82" s="2"/>
      <c r="E82" s="11"/>
      <c r="F82" s="21"/>
      <c r="G82" s="26"/>
    </row>
    <row r="83" spans="2:7" ht="15" customHeight="1" x14ac:dyDescent="0.25">
      <c r="B83" s="16"/>
      <c r="C83" s="1"/>
      <c r="D83" s="2"/>
      <c r="E83" s="11"/>
      <c r="F83" s="21"/>
      <c r="G83" s="26"/>
    </row>
    <row r="84" spans="2:7" ht="15" customHeight="1" x14ac:dyDescent="0.25">
      <c r="B84" s="16"/>
      <c r="C84" s="1"/>
      <c r="D84" s="2"/>
      <c r="E84" s="11"/>
      <c r="F84" s="21"/>
      <c r="G84" s="26"/>
    </row>
    <row r="85" spans="2:7" ht="15" customHeight="1" x14ac:dyDescent="0.25">
      <c r="B85" s="16"/>
      <c r="C85" s="1"/>
      <c r="D85" s="2"/>
      <c r="E85" s="11"/>
      <c r="F85" s="21"/>
      <c r="G85" s="26"/>
    </row>
    <row r="86" spans="2:7" ht="15" customHeight="1" x14ac:dyDescent="0.25">
      <c r="B86" s="16"/>
      <c r="C86" s="1"/>
      <c r="D86" s="2"/>
      <c r="E86" s="11"/>
      <c r="F86" s="21"/>
      <c r="G86" s="26"/>
    </row>
    <row r="87" spans="2:7" ht="15" customHeight="1" x14ac:dyDescent="0.25">
      <c r="B87" s="16"/>
      <c r="C87" s="1"/>
      <c r="D87" s="2"/>
      <c r="E87" s="11"/>
      <c r="F87" s="21"/>
      <c r="G87" s="26"/>
    </row>
    <row r="88" spans="2:7" ht="15" customHeight="1" x14ac:dyDescent="0.25">
      <c r="B88" s="16"/>
      <c r="C88" s="1"/>
      <c r="D88" s="2"/>
      <c r="E88" s="11"/>
      <c r="F88" s="21"/>
      <c r="G88" s="26"/>
    </row>
    <row r="89" spans="2:7" ht="15" customHeight="1" x14ac:dyDescent="0.25">
      <c r="B89" s="16"/>
      <c r="C89" s="1"/>
      <c r="D89" s="2"/>
      <c r="E89" s="11"/>
      <c r="F89" s="21"/>
      <c r="G89" s="26"/>
    </row>
    <row r="90" spans="2:7" ht="15" customHeight="1" x14ac:dyDescent="0.25">
      <c r="B90" s="16"/>
      <c r="C90" s="1"/>
      <c r="D90" s="2"/>
      <c r="E90" s="11"/>
      <c r="F90" s="21"/>
      <c r="G90" s="26"/>
    </row>
    <row r="91" spans="2:7" ht="15" customHeight="1" x14ac:dyDescent="0.25">
      <c r="B91" s="16"/>
      <c r="C91" s="1"/>
      <c r="D91" s="2"/>
      <c r="E91" s="11"/>
      <c r="F91" s="21"/>
      <c r="G91" s="26"/>
    </row>
    <row r="92" spans="2:7" ht="15" customHeight="1" x14ac:dyDescent="0.25">
      <c r="B92" s="16"/>
      <c r="C92" s="1"/>
      <c r="D92" s="2"/>
      <c r="E92" s="11"/>
      <c r="F92" s="21"/>
      <c r="G92" s="26"/>
    </row>
    <row r="93" spans="2:7" ht="15" customHeight="1" x14ac:dyDescent="0.25">
      <c r="B93" s="16"/>
      <c r="C93" s="1"/>
      <c r="D93" s="2"/>
      <c r="E93" s="11"/>
      <c r="F93" s="21"/>
      <c r="G93" s="26"/>
    </row>
    <row r="94" spans="2:7" ht="15" customHeight="1" x14ac:dyDescent="0.25">
      <c r="B94" s="16"/>
      <c r="C94" s="1"/>
      <c r="D94" s="2"/>
      <c r="E94" s="11"/>
      <c r="F94" s="21"/>
      <c r="G94" s="26"/>
    </row>
    <row r="95" spans="2:7" ht="15" customHeight="1" x14ac:dyDescent="0.25">
      <c r="B95" s="16"/>
      <c r="C95" s="1"/>
      <c r="D95" s="2"/>
      <c r="E95" s="11"/>
      <c r="F95" s="21"/>
      <c r="G95" s="26"/>
    </row>
    <row r="96" spans="2:7" ht="15" customHeight="1" x14ac:dyDescent="0.25">
      <c r="B96" s="16"/>
      <c r="C96" s="1"/>
      <c r="D96" s="2"/>
      <c r="E96" s="11"/>
      <c r="F96" s="21"/>
      <c r="G96" s="26"/>
    </row>
    <row r="97" spans="2:7" ht="15" customHeight="1" x14ac:dyDescent="0.25">
      <c r="B97" s="16"/>
      <c r="C97" s="1"/>
      <c r="D97" s="2"/>
      <c r="E97" s="11"/>
      <c r="F97" s="21"/>
      <c r="G97" s="26"/>
    </row>
    <row r="98" spans="2:7" ht="15" customHeight="1" x14ac:dyDescent="0.25">
      <c r="B98" s="16"/>
      <c r="C98" s="1"/>
      <c r="D98" s="2"/>
      <c r="E98" s="11"/>
      <c r="F98" s="21"/>
      <c r="G98" s="26"/>
    </row>
    <row r="99" spans="2:7" ht="15" customHeight="1" x14ac:dyDescent="0.25">
      <c r="B99" s="16"/>
      <c r="C99" s="1"/>
      <c r="D99" s="2"/>
      <c r="E99" s="11"/>
      <c r="F99" s="21"/>
      <c r="G99" s="26"/>
    </row>
    <row r="100" spans="2:7" ht="15" customHeight="1" x14ac:dyDescent="0.25">
      <c r="B100" s="16"/>
      <c r="C100" s="1"/>
      <c r="D100" s="2"/>
      <c r="E100" s="11"/>
      <c r="F100" s="21"/>
      <c r="G100" s="26"/>
    </row>
    <row r="101" spans="2:7" ht="15" customHeight="1" x14ac:dyDescent="0.25">
      <c r="B101" s="16"/>
      <c r="C101" s="1"/>
      <c r="D101" s="2"/>
      <c r="E101" s="11"/>
      <c r="F101" s="21"/>
      <c r="G101" s="26"/>
    </row>
    <row r="102" spans="2:7" ht="15" customHeight="1" x14ac:dyDescent="0.25">
      <c r="B102" s="16"/>
      <c r="C102" s="1"/>
      <c r="D102" s="2"/>
      <c r="E102" s="11"/>
      <c r="F102" s="21"/>
      <c r="G102" s="26"/>
    </row>
    <row r="103" spans="2:7" ht="15" customHeight="1" x14ac:dyDescent="0.25">
      <c r="B103" s="16"/>
      <c r="C103" s="1"/>
      <c r="D103" s="2"/>
      <c r="E103" s="11"/>
      <c r="F103" s="21"/>
      <c r="G103" s="26"/>
    </row>
    <row r="104" spans="2:7" ht="15" customHeight="1" x14ac:dyDescent="0.25">
      <c r="B104" s="16"/>
      <c r="C104" s="1"/>
      <c r="D104" s="2"/>
      <c r="E104" s="11"/>
      <c r="F104" s="21"/>
      <c r="G104" s="26"/>
    </row>
    <row r="105" spans="2:7" ht="15" customHeight="1" x14ac:dyDescent="0.25">
      <c r="B105" s="16"/>
      <c r="C105" s="1"/>
      <c r="D105" s="2"/>
      <c r="E105" s="11"/>
      <c r="F105" s="21"/>
      <c r="G105" s="26"/>
    </row>
    <row r="106" spans="2:7" ht="15" customHeight="1" x14ac:dyDescent="0.25">
      <c r="B106" s="16"/>
      <c r="C106" s="1"/>
      <c r="D106" s="2"/>
      <c r="E106" s="11"/>
      <c r="F106" s="21"/>
      <c r="G106" s="26"/>
    </row>
    <row r="107" spans="2:7" ht="15" customHeight="1" x14ac:dyDescent="0.25">
      <c r="B107" s="16"/>
      <c r="C107" s="1"/>
      <c r="D107" s="2"/>
      <c r="E107" s="11"/>
      <c r="F107" s="21"/>
      <c r="G107" s="26"/>
    </row>
    <row r="108" spans="2:7" ht="15" customHeight="1" x14ac:dyDescent="0.25">
      <c r="B108" s="16"/>
      <c r="C108" s="1"/>
      <c r="D108" s="2"/>
      <c r="E108" s="11"/>
      <c r="F108" s="21"/>
      <c r="G108" s="26"/>
    </row>
    <row r="109" spans="2:7" ht="15" customHeight="1" x14ac:dyDescent="0.25">
      <c r="B109" s="16"/>
      <c r="C109" s="1"/>
      <c r="D109" s="2"/>
      <c r="E109" s="11"/>
      <c r="F109" s="21"/>
      <c r="G109" s="26"/>
    </row>
    <row r="110" spans="2:7" ht="15" customHeight="1" x14ac:dyDescent="0.25">
      <c r="B110" s="16"/>
      <c r="C110" s="1"/>
      <c r="D110" s="2"/>
      <c r="E110" s="11"/>
      <c r="F110" s="21"/>
      <c r="G110" s="26"/>
    </row>
    <row r="111" spans="2:7" ht="15" customHeight="1" x14ac:dyDescent="0.25">
      <c r="B111" s="16"/>
      <c r="C111" s="1"/>
      <c r="D111" s="2"/>
      <c r="E111" s="11"/>
      <c r="F111" s="21"/>
      <c r="G111" s="26"/>
    </row>
    <row r="112" spans="2:7" ht="15" customHeight="1" x14ac:dyDescent="0.25">
      <c r="B112" s="16"/>
      <c r="C112" s="1"/>
      <c r="D112" s="2"/>
      <c r="E112" s="11"/>
      <c r="F112" s="21"/>
      <c r="G112" s="26"/>
    </row>
    <row r="113" spans="2:7" ht="15" customHeight="1" x14ac:dyDescent="0.25">
      <c r="B113" s="16"/>
      <c r="C113" s="1"/>
      <c r="D113" s="2"/>
      <c r="E113" s="11"/>
      <c r="F113" s="21"/>
      <c r="G113" s="26"/>
    </row>
    <row r="114" spans="2:7" ht="15" customHeight="1" x14ac:dyDescent="0.25">
      <c r="B114" s="16"/>
      <c r="C114" s="1"/>
      <c r="D114" s="2"/>
      <c r="E114" s="11"/>
      <c r="F114" s="21"/>
      <c r="G114" s="26"/>
    </row>
    <row r="115" spans="2:7" ht="15" customHeight="1" x14ac:dyDescent="0.25">
      <c r="B115" s="16"/>
      <c r="C115" s="1"/>
      <c r="D115" s="2"/>
      <c r="E115" s="11"/>
      <c r="F115" s="21"/>
      <c r="G115" s="26"/>
    </row>
    <row r="116" spans="2:7" ht="15" customHeight="1" x14ac:dyDescent="0.25">
      <c r="B116" s="16"/>
      <c r="C116" s="1"/>
      <c r="D116" s="2"/>
      <c r="E116" s="11"/>
      <c r="F116" s="21"/>
      <c r="G116" s="26"/>
    </row>
    <row r="117" spans="2:7" ht="15" customHeight="1" x14ac:dyDescent="0.25">
      <c r="B117" s="16"/>
      <c r="C117" s="1"/>
      <c r="D117" s="2"/>
      <c r="E117" s="11"/>
      <c r="F117" s="21"/>
      <c r="G117" s="26"/>
    </row>
    <row r="118" spans="2:7" ht="15" customHeight="1" x14ac:dyDescent="0.25">
      <c r="B118" s="16"/>
      <c r="C118" s="1"/>
      <c r="D118" s="2"/>
      <c r="E118" s="11"/>
      <c r="F118" s="21"/>
      <c r="G118" s="26"/>
    </row>
    <row r="119" spans="2:7" ht="15" customHeight="1" x14ac:dyDescent="0.25">
      <c r="B119" s="16"/>
      <c r="C119" s="1"/>
      <c r="D119" s="2"/>
      <c r="E119" s="11"/>
      <c r="F119" s="21"/>
      <c r="G119" s="26"/>
    </row>
    <row r="120" spans="2:7" ht="15" customHeight="1" x14ac:dyDescent="0.25">
      <c r="B120" s="16"/>
      <c r="C120" s="1"/>
      <c r="D120" s="2"/>
      <c r="E120" s="11"/>
      <c r="F120" s="21"/>
      <c r="G120" s="26"/>
    </row>
    <row r="121" spans="2:7" ht="15" customHeight="1" x14ac:dyDescent="0.25">
      <c r="B121" s="16"/>
      <c r="C121" s="1"/>
      <c r="D121" s="2"/>
      <c r="E121" s="11"/>
      <c r="F121" s="21"/>
      <c r="G121" s="26"/>
    </row>
    <row r="122" spans="2:7" ht="15" customHeight="1" x14ac:dyDescent="0.25">
      <c r="B122" s="16"/>
      <c r="C122" s="1"/>
      <c r="D122" s="2"/>
      <c r="E122" s="11"/>
      <c r="F122" s="21"/>
      <c r="G122" s="26"/>
    </row>
    <row r="123" spans="2:7" ht="15" customHeight="1" x14ac:dyDescent="0.25">
      <c r="B123" s="16"/>
      <c r="C123" s="1"/>
      <c r="D123" s="2"/>
      <c r="E123" s="11"/>
      <c r="F123" s="21"/>
      <c r="G123" s="26"/>
    </row>
    <row r="124" spans="2:7" ht="15" customHeight="1" x14ac:dyDescent="0.25">
      <c r="B124" s="16"/>
      <c r="C124" s="1"/>
      <c r="D124" s="2"/>
      <c r="E124" s="11"/>
      <c r="F124" s="21"/>
      <c r="G124" s="26"/>
    </row>
    <row r="125" spans="2:7" ht="15" customHeight="1" x14ac:dyDescent="0.25">
      <c r="B125" s="16"/>
      <c r="C125" s="1"/>
      <c r="D125" s="2"/>
      <c r="E125" s="11"/>
      <c r="F125" s="21"/>
      <c r="G125" s="26"/>
    </row>
    <row r="126" spans="2:7" ht="15" customHeight="1" x14ac:dyDescent="0.25">
      <c r="B126" s="16"/>
      <c r="C126" s="1"/>
      <c r="D126" s="2"/>
      <c r="E126" s="11"/>
      <c r="F126" s="21"/>
      <c r="G126" s="26"/>
    </row>
    <row r="127" spans="2:7" ht="15" customHeight="1" x14ac:dyDescent="0.25">
      <c r="B127" s="16"/>
      <c r="C127" s="1"/>
      <c r="D127" s="2"/>
      <c r="E127" s="11"/>
      <c r="F127" s="21"/>
      <c r="G127" s="26"/>
    </row>
    <row r="128" spans="2:7" ht="15" customHeight="1" x14ac:dyDescent="0.25">
      <c r="B128" s="16"/>
      <c r="C128" s="1"/>
      <c r="D128" s="2"/>
      <c r="E128" s="11"/>
      <c r="F128" s="21"/>
      <c r="G128" s="26"/>
    </row>
    <row r="129" spans="2:7" ht="15" customHeight="1" x14ac:dyDescent="0.25">
      <c r="B129" s="16"/>
      <c r="C129" s="1"/>
      <c r="D129" s="2"/>
      <c r="E129" s="11"/>
      <c r="F129" s="21"/>
      <c r="G129" s="26"/>
    </row>
    <row r="130" spans="2:7" ht="15" customHeight="1" x14ac:dyDescent="0.25">
      <c r="B130" s="16"/>
      <c r="C130" s="1"/>
      <c r="D130" s="2"/>
      <c r="E130" s="11"/>
      <c r="F130" s="21"/>
      <c r="G130" s="26"/>
    </row>
    <row r="131" spans="2:7" ht="15" customHeight="1" x14ac:dyDescent="0.25">
      <c r="B131" s="16"/>
      <c r="C131" s="1"/>
      <c r="D131" s="2"/>
      <c r="E131" s="11"/>
      <c r="F131" s="21"/>
      <c r="G131" s="26"/>
    </row>
    <row r="132" spans="2:7" ht="15" customHeight="1" x14ac:dyDescent="0.25">
      <c r="B132" s="16"/>
      <c r="C132" s="1"/>
      <c r="D132" s="2"/>
      <c r="E132" s="11"/>
      <c r="F132" s="21"/>
      <c r="G132" s="26"/>
    </row>
    <row r="133" spans="2:7" ht="15" customHeight="1" x14ac:dyDescent="0.25">
      <c r="B133" s="16"/>
      <c r="C133" s="1"/>
      <c r="D133" s="2"/>
      <c r="E133" s="11"/>
      <c r="F133" s="21"/>
      <c r="G133" s="26"/>
    </row>
    <row r="134" spans="2:7" ht="15" customHeight="1" x14ac:dyDescent="0.25">
      <c r="B134" s="16"/>
      <c r="C134" s="1"/>
      <c r="D134" s="2"/>
      <c r="E134" s="11"/>
      <c r="F134" s="21"/>
      <c r="G134" s="26"/>
    </row>
    <row r="135" spans="2:7" ht="15" customHeight="1" x14ac:dyDescent="0.25">
      <c r="B135" s="16"/>
      <c r="C135" s="1"/>
      <c r="D135" s="2"/>
      <c r="E135" s="11"/>
      <c r="F135" s="21"/>
      <c r="G135" s="26"/>
    </row>
    <row r="136" spans="2:7" ht="15" customHeight="1" x14ac:dyDescent="0.25">
      <c r="B136" s="16"/>
      <c r="C136" s="1"/>
      <c r="D136" s="2"/>
      <c r="E136" s="11"/>
      <c r="F136" s="21"/>
      <c r="G136" s="26"/>
    </row>
    <row r="137" spans="2:7" ht="15" customHeight="1" x14ac:dyDescent="0.25">
      <c r="B137" s="16"/>
      <c r="C137" s="1"/>
      <c r="D137" s="2"/>
      <c r="E137" s="11"/>
      <c r="F137" s="21"/>
      <c r="G137" s="26"/>
    </row>
    <row r="138" spans="2:7" ht="15" customHeight="1" x14ac:dyDescent="0.25">
      <c r="B138" s="16"/>
      <c r="C138" s="1"/>
      <c r="D138" s="2"/>
      <c r="E138" s="11"/>
      <c r="F138" s="21"/>
      <c r="G138" s="26"/>
    </row>
    <row r="139" spans="2:7" ht="15" customHeight="1" x14ac:dyDescent="0.25">
      <c r="B139" s="16"/>
      <c r="C139" s="1"/>
      <c r="D139" s="2"/>
      <c r="E139" s="11"/>
      <c r="F139" s="21"/>
      <c r="G139" s="26"/>
    </row>
    <row r="140" spans="2:7" ht="15" customHeight="1" x14ac:dyDescent="0.25">
      <c r="B140" s="16"/>
      <c r="C140" s="1"/>
      <c r="D140" s="2"/>
      <c r="E140" s="11"/>
      <c r="F140" s="21"/>
      <c r="G140" s="26"/>
    </row>
    <row r="141" spans="2:7" ht="15" customHeight="1" x14ac:dyDescent="0.25">
      <c r="B141" s="16"/>
      <c r="C141" s="1"/>
      <c r="D141" s="2"/>
      <c r="E141" s="11"/>
      <c r="F141" s="21"/>
      <c r="G141" s="26"/>
    </row>
    <row r="142" spans="2:7" ht="15" customHeight="1" x14ac:dyDescent="0.25">
      <c r="B142" s="16"/>
      <c r="C142" s="1"/>
      <c r="D142" s="2"/>
      <c r="E142" s="11"/>
      <c r="F142" s="21"/>
      <c r="G142" s="26"/>
    </row>
    <row r="143" spans="2:7" ht="15" customHeight="1" x14ac:dyDescent="0.25">
      <c r="B143" s="16"/>
      <c r="C143" s="1"/>
      <c r="D143" s="2"/>
      <c r="E143" s="11"/>
      <c r="F143" s="21"/>
      <c r="G143" s="26"/>
    </row>
    <row r="144" spans="2:7" ht="15" customHeight="1" x14ac:dyDescent="0.25">
      <c r="B144" s="16"/>
      <c r="C144" s="1"/>
      <c r="D144" s="2"/>
      <c r="E144" s="11"/>
      <c r="F144" s="21"/>
      <c r="G144" s="26"/>
    </row>
    <row r="145" spans="2:7" ht="15" customHeight="1" x14ac:dyDescent="0.25">
      <c r="B145" s="16"/>
      <c r="C145" s="1"/>
      <c r="D145" s="2"/>
      <c r="E145" s="11"/>
      <c r="F145" s="21"/>
      <c r="G145" s="26"/>
    </row>
    <row r="146" spans="2:7" ht="15" customHeight="1" x14ac:dyDescent="0.25">
      <c r="B146" s="16"/>
      <c r="C146" s="1"/>
      <c r="D146" s="2"/>
      <c r="E146" s="11"/>
      <c r="F146" s="21"/>
      <c r="G146" s="26"/>
    </row>
    <row r="147" spans="2:7" ht="15" customHeight="1" x14ac:dyDescent="0.25">
      <c r="B147" s="16"/>
      <c r="C147" s="1"/>
      <c r="D147" s="2"/>
      <c r="E147" s="11"/>
      <c r="F147" s="21"/>
      <c r="G147" s="26"/>
    </row>
    <row r="148" spans="2:7" ht="15" customHeight="1" x14ac:dyDescent="0.25">
      <c r="B148" s="16"/>
      <c r="C148" s="1"/>
      <c r="D148" s="2"/>
      <c r="E148" s="11"/>
      <c r="F148" s="21"/>
      <c r="G148" s="26"/>
    </row>
    <row r="149" spans="2:7" ht="15" customHeight="1" x14ac:dyDescent="0.25">
      <c r="B149" s="16"/>
      <c r="C149" s="1"/>
      <c r="D149" s="2"/>
      <c r="E149" s="11"/>
      <c r="F149" s="21"/>
      <c r="G149" s="26"/>
    </row>
    <row r="150" spans="2:7" ht="15" customHeight="1" x14ac:dyDescent="0.25">
      <c r="B150" s="16"/>
      <c r="C150" s="1"/>
      <c r="D150" s="2"/>
      <c r="E150" s="11"/>
      <c r="F150" s="21"/>
      <c r="G150" s="26"/>
    </row>
    <row r="151" spans="2:7" ht="15" customHeight="1" x14ac:dyDescent="0.25">
      <c r="B151" s="16"/>
      <c r="C151" s="1"/>
      <c r="D151" s="2"/>
      <c r="E151" s="11"/>
      <c r="F151" s="21"/>
      <c r="G151" s="26"/>
    </row>
    <row r="152" spans="2:7" ht="15" customHeight="1" x14ac:dyDescent="0.25">
      <c r="B152" s="16"/>
      <c r="C152" s="1"/>
      <c r="D152" s="2"/>
      <c r="E152" s="11"/>
      <c r="F152" s="21"/>
      <c r="G152" s="26"/>
    </row>
    <row r="153" spans="2:7" ht="15" customHeight="1" x14ac:dyDescent="0.25">
      <c r="B153" s="16"/>
      <c r="C153" s="1"/>
      <c r="D153" s="2"/>
      <c r="E153" s="11"/>
      <c r="F153" s="21"/>
      <c r="G153" s="26"/>
    </row>
    <row r="154" spans="2:7" ht="15" customHeight="1" x14ac:dyDescent="0.25">
      <c r="B154" s="16"/>
      <c r="C154" s="1"/>
      <c r="D154" s="2"/>
      <c r="E154" s="11"/>
      <c r="F154" s="21"/>
      <c r="G154" s="26"/>
    </row>
    <row r="155" spans="2:7" ht="15" customHeight="1" x14ac:dyDescent="0.25">
      <c r="B155" s="16"/>
      <c r="C155" s="1"/>
      <c r="D155" s="2"/>
      <c r="E155" s="11"/>
      <c r="F155" s="21"/>
      <c r="G155" s="26"/>
    </row>
    <row r="156" spans="2:7" ht="15" customHeight="1" x14ac:dyDescent="0.25">
      <c r="B156" s="16"/>
      <c r="C156" s="1"/>
      <c r="D156" s="2"/>
      <c r="E156" s="11"/>
      <c r="F156" s="21"/>
      <c r="G156" s="26"/>
    </row>
    <row r="157" spans="2:7" ht="15" customHeight="1" x14ac:dyDescent="0.25">
      <c r="B157" s="16"/>
      <c r="C157" s="1"/>
      <c r="D157" s="2"/>
      <c r="E157" s="11"/>
      <c r="F157" s="21"/>
      <c r="G157" s="26"/>
    </row>
    <row r="158" spans="2:7" ht="15" customHeight="1" x14ac:dyDescent="0.25">
      <c r="B158" s="16"/>
      <c r="C158" s="1"/>
      <c r="D158" s="2"/>
      <c r="E158" s="11"/>
      <c r="F158" s="21"/>
      <c r="G158" s="26"/>
    </row>
    <row r="159" spans="2:7" ht="15" customHeight="1" x14ac:dyDescent="0.25">
      <c r="B159" s="16"/>
      <c r="C159" s="1"/>
      <c r="D159" s="2"/>
      <c r="E159" s="11"/>
      <c r="F159" s="21"/>
      <c r="G159" s="26"/>
    </row>
    <row r="160" spans="2:7" ht="15" customHeight="1" x14ac:dyDescent="0.25">
      <c r="B160" s="16"/>
      <c r="C160" s="1"/>
      <c r="D160" s="2"/>
      <c r="E160" s="11"/>
      <c r="F160" s="21"/>
      <c r="G160" s="26"/>
    </row>
    <row r="161" spans="2:7" ht="15" customHeight="1" x14ac:dyDescent="0.25">
      <c r="B161" s="16"/>
      <c r="C161" s="1"/>
      <c r="D161" s="2"/>
      <c r="E161" s="11"/>
      <c r="F161" s="21"/>
      <c r="G161" s="26"/>
    </row>
    <row r="162" spans="2:7" ht="15" customHeight="1" x14ac:dyDescent="0.25">
      <c r="B162" s="16"/>
      <c r="C162" s="1"/>
      <c r="D162" s="2"/>
      <c r="E162" s="11"/>
      <c r="F162" s="21"/>
      <c r="G162" s="26"/>
    </row>
    <row r="163" spans="2:7" ht="15" customHeight="1" x14ac:dyDescent="0.25">
      <c r="B163" s="16"/>
      <c r="C163" s="1"/>
      <c r="D163" s="2"/>
      <c r="E163" s="11"/>
      <c r="F163" s="21"/>
      <c r="G163" s="26"/>
    </row>
    <row r="164" spans="2:7" ht="15" customHeight="1" x14ac:dyDescent="0.25">
      <c r="B164" s="16"/>
      <c r="C164" s="1"/>
      <c r="D164" s="2"/>
      <c r="E164" s="11"/>
      <c r="F164" s="21"/>
      <c r="G164" s="26"/>
    </row>
    <row r="165" spans="2:7" ht="15" customHeight="1" x14ac:dyDescent="0.25">
      <c r="B165" s="16"/>
      <c r="C165" s="1"/>
      <c r="D165" s="2"/>
      <c r="E165" s="11"/>
      <c r="F165" s="21"/>
      <c r="G165" s="26"/>
    </row>
    <row r="166" spans="2:7" ht="15" customHeight="1" x14ac:dyDescent="0.25">
      <c r="B166" s="16"/>
      <c r="C166" s="1"/>
      <c r="D166" s="2"/>
      <c r="E166" s="11"/>
      <c r="F166" s="21"/>
      <c r="G166" s="26"/>
    </row>
    <row r="167" spans="2:7" ht="15" customHeight="1" x14ac:dyDescent="0.25">
      <c r="B167" s="16"/>
      <c r="C167" s="1"/>
      <c r="D167" s="2"/>
      <c r="E167" s="11"/>
      <c r="F167" s="21"/>
      <c r="G167" s="26"/>
    </row>
    <row r="168" spans="2:7" ht="15" customHeight="1" x14ac:dyDescent="0.25">
      <c r="B168" s="16"/>
      <c r="C168" s="1"/>
      <c r="D168" s="2"/>
      <c r="E168" s="11"/>
      <c r="F168" s="21"/>
      <c r="G168" s="26"/>
    </row>
    <row r="169" spans="2:7" ht="15" customHeight="1" x14ac:dyDescent="0.25">
      <c r="B169" s="16"/>
      <c r="C169" s="1"/>
      <c r="D169" s="2"/>
      <c r="E169" s="11"/>
      <c r="F169" s="21"/>
      <c r="G169" s="26"/>
    </row>
    <row r="170" spans="2:7" ht="15" customHeight="1" x14ac:dyDescent="0.25">
      <c r="B170" s="16"/>
      <c r="C170" s="1"/>
      <c r="D170" s="2"/>
      <c r="E170" s="11"/>
      <c r="F170" s="21"/>
      <c r="G170" s="26"/>
    </row>
    <row r="171" spans="2:7" ht="15" customHeight="1" x14ac:dyDescent="0.25">
      <c r="B171" s="16"/>
      <c r="C171" s="1"/>
      <c r="D171" s="2"/>
      <c r="E171" s="11"/>
      <c r="F171" s="21"/>
      <c r="G171" s="26"/>
    </row>
    <row r="172" spans="2:7" ht="15" customHeight="1" x14ac:dyDescent="0.25">
      <c r="B172" s="16"/>
      <c r="C172" s="1"/>
      <c r="D172" s="2"/>
      <c r="E172" s="11"/>
      <c r="F172" s="21"/>
      <c r="G172" s="26"/>
    </row>
    <row r="173" spans="2:7" ht="15" customHeight="1" x14ac:dyDescent="0.25">
      <c r="B173" s="16"/>
      <c r="C173" s="1"/>
      <c r="D173" s="2"/>
      <c r="E173" s="11"/>
      <c r="F173" s="21"/>
      <c r="G173" s="26"/>
    </row>
    <row r="174" spans="2:7" ht="15" customHeight="1" x14ac:dyDescent="0.25">
      <c r="B174" s="16"/>
      <c r="C174" s="1"/>
      <c r="D174" s="2"/>
      <c r="E174" s="11"/>
      <c r="F174" s="21"/>
      <c r="G174" s="26"/>
    </row>
    <row r="175" spans="2:7" ht="15" customHeight="1" x14ac:dyDescent="0.25">
      <c r="B175" s="16"/>
      <c r="C175" s="1"/>
      <c r="D175" s="2"/>
      <c r="E175" s="11"/>
      <c r="F175" s="21"/>
      <c r="G175" s="26"/>
    </row>
    <row r="176" spans="2:7" ht="15" customHeight="1" x14ac:dyDescent="0.25">
      <c r="B176" s="16"/>
      <c r="C176" s="1"/>
      <c r="D176" s="2"/>
      <c r="E176" s="11"/>
      <c r="F176" s="21"/>
      <c r="G176" s="26"/>
    </row>
    <row r="177" spans="2:7" ht="15" customHeight="1" x14ac:dyDescent="0.25">
      <c r="B177" s="16"/>
      <c r="C177" s="1"/>
      <c r="D177" s="2"/>
      <c r="E177" s="11"/>
      <c r="F177" s="21"/>
      <c r="G177" s="26"/>
    </row>
    <row r="178" spans="2:7" ht="15" customHeight="1" x14ac:dyDescent="0.25">
      <c r="B178" s="16"/>
      <c r="C178" s="1"/>
      <c r="D178" s="2"/>
      <c r="E178" s="11"/>
      <c r="F178" s="21"/>
      <c r="G178" s="26"/>
    </row>
    <row r="179" spans="2:7" ht="15" customHeight="1" x14ac:dyDescent="0.25">
      <c r="B179" s="16"/>
      <c r="C179" s="1"/>
      <c r="D179" s="2"/>
      <c r="E179" s="11"/>
      <c r="F179" s="21"/>
      <c r="G179" s="26"/>
    </row>
    <row r="180" spans="2:7" ht="15" customHeight="1" x14ac:dyDescent="0.25">
      <c r="B180" s="16"/>
      <c r="C180" s="1"/>
      <c r="D180" s="2"/>
      <c r="E180" s="11"/>
      <c r="F180" s="21"/>
      <c r="G180" s="26"/>
    </row>
    <row r="181" spans="2:7" ht="15" customHeight="1" x14ac:dyDescent="0.25">
      <c r="B181" s="16"/>
      <c r="C181" s="1"/>
      <c r="D181" s="2"/>
      <c r="E181" s="11"/>
      <c r="F181" s="21"/>
      <c r="G181" s="26"/>
    </row>
    <row r="182" spans="2:7" ht="15" customHeight="1" x14ac:dyDescent="0.25">
      <c r="B182" s="16"/>
      <c r="C182" s="1"/>
      <c r="D182" s="2"/>
      <c r="E182" s="11"/>
      <c r="F182" s="21"/>
      <c r="G182" s="26"/>
    </row>
    <row r="183" spans="2:7" ht="15" customHeight="1" x14ac:dyDescent="0.25">
      <c r="B183" s="16"/>
      <c r="C183" s="1"/>
      <c r="D183" s="2"/>
      <c r="E183" s="11"/>
      <c r="F183" s="21"/>
      <c r="G183" s="26"/>
    </row>
    <row r="184" spans="2:7" ht="15" customHeight="1" x14ac:dyDescent="0.25">
      <c r="B184" s="16"/>
      <c r="C184" s="1"/>
      <c r="D184" s="2"/>
      <c r="E184" s="11"/>
      <c r="F184" s="21"/>
      <c r="G184" s="26"/>
    </row>
    <row r="185" spans="2:7" ht="15" customHeight="1" x14ac:dyDescent="0.25">
      <c r="B185" s="16"/>
      <c r="C185" s="1"/>
      <c r="D185" s="2"/>
      <c r="E185" s="11"/>
      <c r="F185" s="21"/>
      <c r="G185" s="26"/>
    </row>
    <row r="186" spans="2:7" ht="15" customHeight="1" x14ac:dyDescent="0.25">
      <c r="B186" s="16"/>
      <c r="C186" s="1"/>
      <c r="D186" s="2"/>
      <c r="E186" s="11"/>
      <c r="F186" s="21"/>
      <c r="G186" s="26"/>
    </row>
    <row r="187" spans="2:7" ht="15" customHeight="1" x14ac:dyDescent="0.25">
      <c r="B187" s="16"/>
      <c r="C187" s="1"/>
      <c r="D187" s="2"/>
      <c r="E187" s="11"/>
      <c r="F187" s="21"/>
      <c r="G187" s="26"/>
    </row>
    <row r="188" spans="2:7" ht="15" customHeight="1" x14ac:dyDescent="0.25">
      <c r="B188" s="16"/>
      <c r="C188" s="1"/>
      <c r="D188" s="2"/>
      <c r="E188" s="11"/>
      <c r="F188" s="21"/>
      <c r="G188" s="26"/>
    </row>
    <row r="189" spans="2:7" ht="15" customHeight="1" x14ac:dyDescent="0.25">
      <c r="B189" s="16"/>
      <c r="C189" s="1"/>
      <c r="D189" s="1"/>
      <c r="E189" s="11"/>
      <c r="F189" s="21"/>
      <c r="G189" s="26"/>
    </row>
    <row r="190" spans="2:7" ht="15" customHeight="1" x14ac:dyDescent="0.25">
      <c r="B190" s="16"/>
      <c r="C190" s="1"/>
      <c r="D190" s="1"/>
      <c r="E190" s="11"/>
      <c r="F190" s="21"/>
      <c r="G190" s="26"/>
    </row>
    <row r="191" spans="2:7" ht="15" customHeight="1" x14ac:dyDescent="0.25">
      <c r="B191" s="16"/>
      <c r="C191" s="1"/>
      <c r="D191" s="1"/>
      <c r="E191" s="11"/>
      <c r="F191" s="21"/>
      <c r="G191" s="26"/>
    </row>
    <row r="192" spans="2:7" ht="15" customHeight="1" x14ac:dyDescent="0.25">
      <c r="B192" s="16"/>
      <c r="C192" s="1"/>
      <c r="D192" s="1"/>
      <c r="E192" s="11"/>
      <c r="F192" s="21"/>
      <c r="G192" s="26"/>
    </row>
    <row r="193" spans="2:7" ht="15" customHeight="1" x14ac:dyDescent="0.25">
      <c r="B193" s="16"/>
      <c r="C193" s="1"/>
      <c r="D193" s="1"/>
      <c r="E193" s="11"/>
      <c r="F193" s="21"/>
      <c r="G193" s="26"/>
    </row>
    <row r="194" spans="2:7" ht="15" customHeight="1" x14ac:dyDescent="0.25">
      <c r="B194" s="16"/>
      <c r="C194" s="1"/>
      <c r="D194" s="1"/>
      <c r="E194" s="11"/>
      <c r="F194" s="21"/>
      <c r="G194" s="26"/>
    </row>
    <row r="195" spans="2:7" ht="15" customHeight="1" x14ac:dyDescent="0.25">
      <c r="B195" s="16"/>
      <c r="C195" s="1"/>
      <c r="D195" s="1"/>
      <c r="E195" s="11"/>
      <c r="F195" s="21"/>
      <c r="G195" s="26"/>
    </row>
    <row r="196" spans="2:7" ht="15" customHeight="1" x14ac:dyDescent="0.25">
      <c r="B196" s="16"/>
      <c r="C196" s="1"/>
      <c r="D196" s="1"/>
      <c r="E196" s="11"/>
      <c r="F196" s="21"/>
      <c r="G196" s="26"/>
    </row>
    <row r="197" spans="2:7" ht="15" customHeight="1" x14ac:dyDescent="0.25">
      <c r="B197" s="16"/>
      <c r="C197" s="1"/>
      <c r="D197" s="1"/>
      <c r="E197" s="11"/>
      <c r="F197" s="21"/>
      <c r="G197" s="26"/>
    </row>
    <row r="198" spans="2:7" ht="15" customHeight="1" x14ac:dyDescent="0.25">
      <c r="B198" s="16"/>
      <c r="C198" s="1"/>
      <c r="D198" s="1"/>
      <c r="E198" s="11"/>
      <c r="F198" s="21"/>
      <c r="G198" s="26"/>
    </row>
    <row r="199" spans="2:7" ht="15" customHeight="1" x14ac:dyDescent="0.25">
      <c r="B199" s="16"/>
      <c r="C199" s="1"/>
      <c r="D199" s="1"/>
      <c r="E199" s="11"/>
      <c r="F199" s="21"/>
      <c r="G199" s="26"/>
    </row>
    <row r="200" spans="2:7" ht="15" customHeight="1" x14ac:dyDescent="0.25">
      <c r="B200" s="16"/>
      <c r="C200" s="1"/>
      <c r="D200" s="1"/>
      <c r="E200" s="11"/>
      <c r="F200" s="21"/>
      <c r="G200" s="26"/>
    </row>
    <row r="201" spans="2:7" ht="15" customHeight="1" x14ac:dyDescent="0.25">
      <c r="B201" s="16"/>
      <c r="C201" s="1"/>
      <c r="D201" s="1"/>
      <c r="E201" s="11"/>
      <c r="F201" s="21"/>
      <c r="G201" s="26"/>
    </row>
    <row r="202" spans="2:7" ht="15" customHeight="1" x14ac:dyDescent="0.25">
      <c r="B202" s="16"/>
      <c r="C202" s="1"/>
      <c r="D202" s="1"/>
      <c r="E202" s="11"/>
      <c r="F202" s="21"/>
      <c r="G202" s="26"/>
    </row>
    <row r="203" spans="2:7" ht="15" customHeight="1" x14ac:dyDescent="0.25">
      <c r="B203" s="16"/>
      <c r="C203" s="1"/>
      <c r="D203" s="1"/>
      <c r="E203" s="11"/>
      <c r="F203" s="21"/>
      <c r="G203" s="26"/>
    </row>
    <row r="204" spans="2:7" ht="15" customHeight="1" x14ac:dyDescent="0.25">
      <c r="B204" s="16"/>
      <c r="C204" s="1"/>
      <c r="D204" s="1"/>
      <c r="E204" s="11"/>
      <c r="F204" s="21"/>
      <c r="G204" s="26"/>
    </row>
    <row r="205" spans="2:7" ht="15" customHeight="1" x14ac:dyDescent="0.25">
      <c r="B205" s="16"/>
      <c r="C205" s="1"/>
      <c r="D205" s="1"/>
      <c r="E205" s="11"/>
      <c r="F205" s="21"/>
      <c r="G205" s="26"/>
    </row>
    <row r="206" spans="2:7" ht="15" customHeight="1" x14ac:dyDescent="0.25">
      <c r="B206" s="16"/>
      <c r="C206" s="1"/>
      <c r="D206" s="1"/>
      <c r="E206" s="11"/>
      <c r="F206" s="21"/>
      <c r="G206" s="26"/>
    </row>
    <row r="207" spans="2:7" ht="15" customHeight="1" x14ac:dyDescent="0.25">
      <c r="B207" s="16"/>
      <c r="C207" s="1"/>
      <c r="D207" s="1"/>
      <c r="E207" s="11"/>
      <c r="F207" s="21"/>
      <c r="G207" s="26"/>
    </row>
    <row r="208" spans="2:7" ht="15" customHeight="1" x14ac:dyDescent="0.25">
      <c r="B208" s="16"/>
      <c r="C208" s="1"/>
      <c r="D208" s="1"/>
      <c r="E208" s="11"/>
      <c r="F208" s="21"/>
      <c r="G208" s="26"/>
    </row>
    <row r="209" spans="2:7" ht="15" customHeight="1" x14ac:dyDescent="0.25">
      <c r="B209" s="16"/>
      <c r="C209" s="1"/>
      <c r="D209" s="1"/>
      <c r="E209" s="11"/>
      <c r="F209" s="21"/>
      <c r="G209" s="26"/>
    </row>
    <row r="210" spans="2:7" ht="15" customHeight="1" x14ac:dyDescent="0.25">
      <c r="B210" s="16"/>
      <c r="C210" s="1"/>
      <c r="D210" s="1"/>
      <c r="E210" s="11"/>
      <c r="F210" s="21"/>
      <c r="G210" s="26"/>
    </row>
    <row r="211" spans="2:7" ht="15" customHeight="1" x14ac:dyDescent="0.25">
      <c r="B211" s="16"/>
      <c r="C211" s="1"/>
      <c r="D211" s="1"/>
      <c r="E211" s="11"/>
      <c r="F211" s="21"/>
      <c r="G211" s="26"/>
    </row>
    <row r="212" spans="2:7" ht="15" customHeight="1" x14ac:dyDescent="0.25">
      <c r="B212" s="16"/>
      <c r="C212" s="1"/>
      <c r="D212" s="1"/>
      <c r="E212" s="11"/>
      <c r="F212" s="21"/>
      <c r="G212" s="26"/>
    </row>
    <row r="213" spans="2:7" ht="15" customHeight="1" x14ac:dyDescent="0.25">
      <c r="B213" s="16"/>
      <c r="C213" s="1"/>
      <c r="D213" s="1"/>
      <c r="E213" s="11"/>
      <c r="F213" s="21"/>
      <c r="G213" s="26"/>
    </row>
    <row r="214" spans="2:7" ht="15" customHeight="1" x14ac:dyDescent="0.25">
      <c r="B214" s="16"/>
      <c r="C214" s="1"/>
      <c r="D214" s="1"/>
      <c r="E214" s="11"/>
      <c r="F214" s="21"/>
      <c r="G214" s="26"/>
    </row>
    <row r="215" spans="2:7" ht="15" customHeight="1" x14ac:dyDescent="0.25">
      <c r="B215" s="16"/>
      <c r="C215" s="1"/>
      <c r="D215" s="1"/>
      <c r="E215" s="11"/>
      <c r="F215" s="21"/>
      <c r="G215" s="26"/>
    </row>
    <row r="216" spans="2:7" ht="15" customHeight="1" x14ac:dyDescent="0.25">
      <c r="B216" s="16"/>
      <c r="C216" s="1"/>
      <c r="D216" s="1"/>
      <c r="E216" s="11"/>
      <c r="F216" s="21"/>
      <c r="G216" s="26"/>
    </row>
    <row r="217" spans="2:7" ht="15" customHeight="1" x14ac:dyDescent="0.25">
      <c r="B217" s="16"/>
      <c r="C217" s="1"/>
      <c r="D217" s="1"/>
      <c r="E217" s="11"/>
      <c r="F217" s="21"/>
      <c r="G217" s="26"/>
    </row>
    <row r="218" spans="2:7" ht="15" customHeight="1" x14ac:dyDescent="0.25">
      <c r="B218" s="16"/>
      <c r="C218" s="1"/>
      <c r="D218" s="1"/>
      <c r="E218" s="11"/>
      <c r="F218" s="21"/>
      <c r="G218" s="26"/>
    </row>
    <row r="219" spans="2:7" ht="15" customHeight="1" x14ac:dyDescent="0.25">
      <c r="B219" s="16"/>
      <c r="C219" s="1"/>
      <c r="D219" s="1"/>
      <c r="E219" s="11"/>
      <c r="F219" s="21"/>
      <c r="G219" s="26"/>
    </row>
    <row r="220" spans="2:7" ht="15" customHeight="1" x14ac:dyDescent="0.25">
      <c r="B220" s="16"/>
      <c r="C220" s="1"/>
      <c r="D220" s="1"/>
      <c r="E220" s="11"/>
      <c r="F220" s="21"/>
      <c r="G220" s="26"/>
    </row>
    <row r="221" spans="2:7" ht="15" customHeight="1" x14ac:dyDescent="0.25">
      <c r="B221" s="16"/>
      <c r="C221" s="1"/>
      <c r="D221" s="1"/>
      <c r="E221" s="11"/>
      <c r="F221" s="21"/>
      <c r="G221" s="26"/>
    </row>
    <row r="222" spans="2:7" ht="15" customHeight="1" x14ac:dyDescent="0.25">
      <c r="B222" s="16"/>
      <c r="C222" s="1"/>
      <c r="D222" s="1"/>
      <c r="E222" s="11"/>
      <c r="F222" s="21"/>
      <c r="G222" s="26"/>
    </row>
    <row r="223" spans="2:7" ht="15" customHeight="1" x14ac:dyDescent="0.25">
      <c r="B223" s="16"/>
      <c r="C223" s="1"/>
      <c r="D223" s="1"/>
      <c r="E223" s="11"/>
      <c r="F223" s="21"/>
      <c r="G223" s="26"/>
    </row>
    <row r="224" spans="2:7" ht="15" customHeight="1" x14ac:dyDescent="0.25">
      <c r="B224" s="16"/>
      <c r="C224" s="1"/>
      <c r="D224" s="1"/>
      <c r="E224" s="11"/>
      <c r="F224" s="21"/>
      <c r="G224" s="26"/>
    </row>
    <row r="225" spans="2:7" ht="15" customHeight="1" x14ac:dyDescent="0.25">
      <c r="B225" s="16"/>
      <c r="C225" s="1"/>
      <c r="D225" s="1"/>
      <c r="E225" s="11"/>
      <c r="F225" s="21"/>
      <c r="G225" s="26"/>
    </row>
    <row r="226" spans="2:7" ht="15" customHeight="1" x14ac:dyDescent="0.25">
      <c r="B226" s="16"/>
      <c r="C226" s="1"/>
      <c r="D226" s="1"/>
      <c r="E226" s="11"/>
      <c r="F226" s="21"/>
      <c r="G226" s="26"/>
    </row>
    <row r="227" spans="2:7" ht="15" customHeight="1" x14ac:dyDescent="0.25">
      <c r="B227" s="16"/>
      <c r="C227" s="1"/>
      <c r="D227" s="1"/>
      <c r="E227" s="11"/>
      <c r="F227" s="21"/>
      <c r="G227" s="26"/>
    </row>
    <row r="228" spans="2:7" ht="15" customHeight="1" x14ac:dyDescent="0.25">
      <c r="B228" s="16"/>
      <c r="C228" s="1"/>
      <c r="D228" s="1"/>
      <c r="E228" s="11"/>
      <c r="F228" s="21"/>
      <c r="G228" s="26"/>
    </row>
    <row r="229" spans="2:7" ht="15" customHeight="1" x14ac:dyDescent="0.25">
      <c r="B229" s="16"/>
      <c r="C229" s="1"/>
      <c r="D229" s="1"/>
      <c r="E229" s="11"/>
      <c r="F229" s="21"/>
      <c r="G229" s="26"/>
    </row>
    <row r="230" spans="2:7" ht="15" customHeight="1" x14ac:dyDescent="0.25">
      <c r="B230" s="16"/>
      <c r="C230" s="1"/>
      <c r="D230" s="1"/>
      <c r="E230" s="11"/>
      <c r="F230" s="21"/>
      <c r="G230" s="26"/>
    </row>
    <row r="231" spans="2:7" ht="15" customHeight="1" x14ac:dyDescent="0.25">
      <c r="B231" s="16"/>
      <c r="C231" s="1"/>
      <c r="D231" s="1"/>
      <c r="E231" s="11"/>
      <c r="F231" s="21"/>
      <c r="G231" s="26"/>
    </row>
    <row r="232" spans="2:7" ht="15" customHeight="1" x14ac:dyDescent="0.25">
      <c r="B232" s="16"/>
      <c r="C232" s="1"/>
      <c r="D232" s="1"/>
      <c r="E232" s="11"/>
      <c r="F232" s="21"/>
      <c r="G232" s="26"/>
    </row>
    <row r="233" spans="2:7" ht="15" customHeight="1" x14ac:dyDescent="0.25">
      <c r="B233" s="16"/>
      <c r="C233" s="1"/>
      <c r="D233" s="1"/>
      <c r="E233" s="11"/>
      <c r="F233" s="21"/>
      <c r="G233" s="26"/>
    </row>
    <row r="234" spans="2:7" ht="15" customHeight="1" x14ac:dyDescent="0.25">
      <c r="B234" s="16"/>
      <c r="C234" s="1"/>
      <c r="D234" s="1"/>
      <c r="E234" s="11"/>
      <c r="F234" s="21"/>
      <c r="G234" s="26"/>
    </row>
    <row r="235" spans="2:7" ht="15" customHeight="1" x14ac:dyDescent="0.25">
      <c r="B235" s="16"/>
      <c r="C235" s="1"/>
      <c r="D235" s="1"/>
      <c r="E235" s="11"/>
      <c r="F235" s="21"/>
      <c r="G235" s="26"/>
    </row>
    <row r="236" spans="2:7" ht="15" customHeight="1" x14ac:dyDescent="0.25">
      <c r="B236" s="16"/>
      <c r="C236" s="1"/>
      <c r="D236" s="1"/>
      <c r="E236" s="11"/>
      <c r="F236" s="21"/>
      <c r="G236" s="26"/>
    </row>
    <row r="237" spans="2:7" ht="15" customHeight="1" x14ac:dyDescent="0.25">
      <c r="B237" s="16"/>
      <c r="C237" s="1"/>
      <c r="D237" s="1"/>
      <c r="E237" s="11"/>
      <c r="F237" s="21"/>
      <c r="G237" s="26"/>
    </row>
    <row r="238" spans="2:7" ht="15" customHeight="1" x14ac:dyDescent="0.25">
      <c r="B238" s="16"/>
      <c r="C238" s="1"/>
      <c r="D238" s="1"/>
      <c r="E238" s="11"/>
      <c r="F238" s="21"/>
      <c r="G238" s="26"/>
    </row>
    <row r="239" spans="2:7" ht="15" customHeight="1" x14ac:dyDescent="0.25">
      <c r="B239" s="16"/>
      <c r="C239" s="1"/>
      <c r="D239" s="1"/>
      <c r="E239" s="11"/>
      <c r="F239" s="21"/>
      <c r="G239" s="26"/>
    </row>
    <row r="240" spans="2:7" ht="15" customHeight="1" x14ac:dyDescent="0.25">
      <c r="B240" s="16"/>
      <c r="C240" s="1"/>
      <c r="D240" s="1"/>
      <c r="E240" s="11"/>
      <c r="F240" s="21"/>
      <c r="G240" s="26"/>
    </row>
    <row r="241" spans="2:7" ht="15" customHeight="1" x14ac:dyDescent="0.25">
      <c r="B241" s="16"/>
      <c r="C241" s="1"/>
      <c r="D241" s="1"/>
      <c r="E241" s="11"/>
      <c r="F241" s="21"/>
      <c r="G241" s="26"/>
    </row>
    <row r="242" spans="2:7" ht="15" customHeight="1" x14ac:dyDescent="0.25">
      <c r="B242" s="16"/>
      <c r="C242" s="1"/>
      <c r="D242" s="1"/>
      <c r="E242" s="11"/>
      <c r="F242" s="21"/>
      <c r="G242" s="26"/>
    </row>
    <row r="243" spans="2:7" ht="15" customHeight="1" x14ac:dyDescent="0.25">
      <c r="B243" s="16"/>
      <c r="C243" s="1"/>
      <c r="D243" s="1"/>
      <c r="E243" s="11"/>
      <c r="F243" s="21"/>
      <c r="G243" s="26"/>
    </row>
    <row r="244" spans="2:7" ht="15" customHeight="1" x14ac:dyDescent="0.25">
      <c r="B244" s="16"/>
      <c r="C244" s="1"/>
      <c r="D244" s="1"/>
      <c r="E244" s="11"/>
      <c r="F244" s="21"/>
      <c r="G244" s="26"/>
    </row>
    <row r="245" spans="2:7" ht="15" customHeight="1" x14ac:dyDescent="0.25">
      <c r="B245" s="16"/>
      <c r="C245" s="1"/>
      <c r="D245" s="1"/>
      <c r="E245" s="11"/>
      <c r="F245" s="21"/>
      <c r="G245" s="26"/>
    </row>
    <row r="246" spans="2:7" ht="15" customHeight="1" x14ac:dyDescent="0.25">
      <c r="B246" s="16"/>
      <c r="C246" s="1"/>
      <c r="D246" s="1"/>
      <c r="E246" s="11"/>
      <c r="F246" s="21"/>
      <c r="G246" s="26"/>
    </row>
    <row r="247" spans="2:7" ht="15" customHeight="1" x14ac:dyDescent="0.25">
      <c r="B247" s="16"/>
      <c r="C247" s="1"/>
      <c r="D247" s="1"/>
      <c r="E247" s="11"/>
      <c r="F247" s="21"/>
      <c r="G247" s="26"/>
    </row>
    <row r="248" spans="2:7" ht="15" customHeight="1" x14ac:dyDescent="0.25">
      <c r="B248" s="16"/>
      <c r="C248" s="1"/>
      <c r="D248" s="1"/>
      <c r="E248" s="11"/>
      <c r="F248" s="21"/>
      <c r="G248" s="26"/>
    </row>
    <row r="249" spans="2:7" ht="15" customHeight="1" x14ac:dyDescent="0.25">
      <c r="B249" s="16"/>
      <c r="C249" s="1"/>
      <c r="D249" s="1"/>
      <c r="E249" s="11"/>
      <c r="F249" s="21"/>
      <c r="G249" s="26"/>
    </row>
    <row r="250" spans="2:7" ht="15" customHeight="1" x14ac:dyDescent="0.25">
      <c r="B250" s="16"/>
      <c r="C250" s="1"/>
      <c r="D250" s="1"/>
      <c r="E250" s="11"/>
      <c r="F250" s="21"/>
      <c r="G250" s="26"/>
    </row>
    <row r="251" spans="2:7" ht="15" customHeight="1" x14ac:dyDescent="0.25">
      <c r="B251" s="16"/>
      <c r="C251" s="1"/>
      <c r="D251" s="1"/>
      <c r="E251" s="11"/>
      <c r="F251" s="21"/>
      <c r="G251" s="26"/>
    </row>
    <row r="252" spans="2:7" ht="15" customHeight="1" x14ac:dyDescent="0.25">
      <c r="B252" s="16"/>
      <c r="C252" s="1"/>
      <c r="D252" s="1"/>
      <c r="E252" s="11"/>
      <c r="F252" s="21"/>
      <c r="G252" s="26"/>
    </row>
    <row r="253" spans="2:7" ht="15" customHeight="1" x14ac:dyDescent="0.25">
      <c r="B253" s="16"/>
      <c r="C253" s="1"/>
      <c r="D253" s="1"/>
      <c r="E253" s="11"/>
      <c r="F253" s="21"/>
      <c r="G253" s="26"/>
    </row>
    <row r="254" spans="2:7" ht="15" customHeight="1" x14ac:dyDescent="0.25">
      <c r="B254" s="16"/>
      <c r="C254" s="1"/>
      <c r="D254" s="1"/>
      <c r="E254" s="11"/>
      <c r="F254" s="21"/>
      <c r="G254" s="26"/>
    </row>
    <row r="255" spans="2:7" ht="15" customHeight="1" x14ac:dyDescent="0.25">
      <c r="B255" s="16"/>
      <c r="C255" s="1"/>
      <c r="D255" s="1"/>
      <c r="E255" s="11"/>
      <c r="F255" s="21"/>
      <c r="G255" s="26"/>
    </row>
    <row r="256" spans="2:7" ht="15" customHeight="1" x14ac:dyDescent="0.25">
      <c r="B256" s="16"/>
      <c r="C256" s="1"/>
      <c r="D256" s="1"/>
      <c r="E256" s="11"/>
      <c r="F256" s="21"/>
      <c r="G256" s="26"/>
    </row>
    <row r="257" spans="2:7" ht="15" customHeight="1" x14ac:dyDescent="0.25">
      <c r="B257" s="16"/>
      <c r="C257" s="1"/>
      <c r="D257" s="1"/>
      <c r="E257" s="11"/>
      <c r="F257" s="21"/>
      <c r="G257" s="26"/>
    </row>
    <row r="258" spans="2:7" ht="15" customHeight="1" x14ac:dyDescent="0.25">
      <c r="B258" s="16"/>
      <c r="C258" s="1"/>
      <c r="D258" s="1"/>
      <c r="E258" s="11"/>
      <c r="F258" s="21"/>
      <c r="G258" s="26"/>
    </row>
    <row r="259" spans="2:7" ht="15" customHeight="1" x14ac:dyDescent="0.25">
      <c r="B259" s="16"/>
      <c r="C259" s="1"/>
      <c r="D259" s="1"/>
      <c r="E259" s="11"/>
      <c r="F259" s="21"/>
      <c r="G259" s="26"/>
    </row>
    <row r="260" spans="2:7" ht="15" customHeight="1" x14ac:dyDescent="0.25">
      <c r="B260" s="16"/>
      <c r="C260" s="1"/>
      <c r="D260" s="1"/>
      <c r="E260" s="11"/>
      <c r="F260" s="21"/>
      <c r="G260" s="26"/>
    </row>
    <row r="261" spans="2:7" ht="15" customHeight="1" x14ac:dyDescent="0.25">
      <c r="B261" s="16"/>
      <c r="C261" s="1"/>
      <c r="D261" s="1"/>
      <c r="E261" s="11"/>
      <c r="F261" s="21"/>
      <c r="G261" s="26"/>
    </row>
    <row r="262" spans="2:7" ht="15" customHeight="1" x14ac:dyDescent="0.25">
      <c r="B262" s="16"/>
      <c r="C262" s="1"/>
      <c r="D262" s="1"/>
      <c r="E262" s="11"/>
      <c r="F262" s="21"/>
      <c r="G262" s="26"/>
    </row>
    <row r="263" spans="2:7" ht="15" customHeight="1" x14ac:dyDescent="0.25">
      <c r="B263" s="16"/>
      <c r="C263" s="1"/>
      <c r="D263" s="1"/>
      <c r="E263" s="11"/>
      <c r="F263" s="21"/>
      <c r="G263" s="26"/>
    </row>
    <row r="264" spans="2:7" ht="15" customHeight="1" x14ac:dyDescent="0.25">
      <c r="B264" s="16"/>
      <c r="C264" s="1"/>
      <c r="D264" s="1"/>
      <c r="E264" s="11"/>
      <c r="F264" s="21"/>
      <c r="G264" s="26"/>
    </row>
    <row r="265" spans="2:7" ht="15" customHeight="1" x14ac:dyDescent="0.25">
      <c r="B265" s="16"/>
      <c r="C265" s="1"/>
      <c r="D265" s="1"/>
      <c r="E265" s="11"/>
      <c r="F265" s="21"/>
      <c r="G265" s="26"/>
    </row>
    <row r="266" spans="2:7" ht="15" customHeight="1" x14ac:dyDescent="0.25">
      <c r="B266" s="16"/>
      <c r="C266" s="1"/>
      <c r="D266" s="1"/>
      <c r="E266" s="11"/>
      <c r="F266" s="21"/>
      <c r="G266" s="26"/>
    </row>
    <row r="267" spans="2:7" ht="15" customHeight="1" x14ac:dyDescent="0.25">
      <c r="B267" s="16"/>
      <c r="C267" s="1"/>
      <c r="D267" s="1"/>
      <c r="E267" s="11"/>
      <c r="F267" s="21"/>
      <c r="G267" s="26"/>
    </row>
    <row r="268" spans="2:7" ht="15" customHeight="1" x14ac:dyDescent="0.25">
      <c r="B268" s="16"/>
      <c r="C268" s="1"/>
      <c r="D268" s="1"/>
      <c r="E268" s="11"/>
      <c r="F268" s="21"/>
      <c r="G268" s="26"/>
    </row>
    <row r="269" spans="2:7" ht="15" customHeight="1" x14ac:dyDescent="0.25">
      <c r="B269" s="16"/>
      <c r="C269" s="1"/>
      <c r="D269" s="1"/>
      <c r="E269" s="11"/>
      <c r="F269" s="21"/>
      <c r="G269" s="26"/>
    </row>
    <row r="270" spans="2:7" ht="15.75" customHeight="1" thickBot="1" x14ac:dyDescent="0.3">
      <c r="B270" s="16"/>
      <c r="C270" s="4"/>
      <c r="D270" s="4"/>
      <c r="E270" s="12"/>
      <c r="F270" s="22"/>
      <c r="G270" s="27"/>
    </row>
  </sheetData>
  <mergeCells count="1">
    <mergeCell ref="D1:D9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04A0-C701-4764-BBFD-2F93F13FAC97}">
  <sheetPr codeName="Sheet4"/>
  <dimension ref="A1:F72"/>
  <sheetViews>
    <sheetView topLeftCell="A24" zoomScaleNormal="100" workbookViewId="0">
      <selection activeCell="C43" sqref="C43"/>
    </sheetView>
  </sheetViews>
  <sheetFormatPr defaultRowHeight="15" x14ac:dyDescent="0.25"/>
  <cols>
    <col min="1" max="1" width="16" style="129" customWidth="1"/>
    <col min="2" max="2" width="19.5703125" style="130" customWidth="1"/>
    <col min="3" max="3" width="52" style="67" customWidth="1"/>
    <col min="4" max="4" width="12.7109375" style="67" customWidth="1"/>
    <col min="5" max="5" width="13" style="67" customWidth="1"/>
    <col min="6" max="6" width="17.7109375" style="67" customWidth="1"/>
    <col min="7" max="16384" width="9.140625" style="67"/>
  </cols>
  <sheetData>
    <row r="1" spans="1:6" ht="19.5" thickBot="1" x14ac:dyDescent="0.35">
      <c r="A1" s="119" t="s">
        <v>0</v>
      </c>
      <c r="B1" s="120" t="s">
        <v>5</v>
      </c>
      <c r="C1" s="99" t="s">
        <v>1</v>
      </c>
      <c r="D1" s="100" t="s">
        <v>2</v>
      </c>
      <c r="E1" s="101" t="s">
        <v>3</v>
      </c>
      <c r="F1" s="102" t="s">
        <v>4</v>
      </c>
    </row>
    <row r="2" spans="1:6" ht="18.75" x14ac:dyDescent="0.3">
      <c r="A2" s="121"/>
      <c r="B2" s="118"/>
      <c r="C2" s="104"/>
      <c r="D2" s="75"/>
      <c r="E2" s="73"/>
      <c r="F2" s="107">
        <v>1732691</v>
      </c>
    </row>
    <row r="3" spans="1:6" x14ac:dyDescent="0.25">
      <c r="A3" s="69">
        <v>44205</v>
      </c>
      <c r="B3" s="118">
        <v>101</v>
      </c>
      <c r="C3" s="133" t="s">
        <v>176</v>
      </c>
      <c r="D3" s="75">
        <v>93000</v>
      </c>
      <c r="E3" s="73"/>
      <c r="F3" s="76">
        <f>F2+D3-E3</f>
        <v>1825691</v>
      </c>
    </row>
    <row r="4" spans="1:6" x14ac:dyDescent="0.25">
      <c r="A4" s="69">
        <v>44236</v>
      </c>
      <c r="B4" s="118">
        <v>102</v>
      </c>
      <c r="C4" s="133" t="s">
        <v>115</v>
      </c>
      <c r="D4" s="75">
        <v>45500</v>
      </c>
      <c r="E4" s="73"/>
      <c r="F4" s="76">
        <f>F3+D4-E4</f>
        <v>1871191</v>
      </c>
    </row>
    <row r="5" spans="1:6" x14ac:dyDescent="0.25">
      <c r="A5" s="69">
        <v>44236</v>
      </c>
      <c r="B5" s="118">
        <v>102</v>
      </c>
      <c r="C5" s="133" t="s">
        <v>116</v>
      </c>
      <c r="D5" s="75">
        <v>4000</v>
      </c>
      <c r="E5" s="73">
        <v>100000</v>
      </c>
      <c r="F5" s="76">
        <f>F4+D5-E5</f>
        <v>1775191</v>
      </c>
    </row>
    <row r="6" spans="1:6" x14ac:dyDescent="0.25">
      <c r="A6" s="69">
        <v>44236</v>
      </c>
      <c r="B6" s="118">
        <v>104</v>
      </c>
      <c r="C6" s="133" t="s">
        <v>117</v>
      </c>
      <c r="D6" s="75">
        <v>10000</v>
      </c>
      <c r="E6" s="73"/>
      <c r="F6" s="76">
        <f t="shared" ref="F6:F8" si="0">F5+D6-E6</f>
        <v>1785191</v>
      </c>
    </row>
    <row r="7" spans="1:6" s="137" customFormat="1" x14ac:dyDescent="0.25">
      <c r="A7" s="131">
        <v>44295</v>
      </c>
      <c r="B7" s="132">
        <v>105</v>
      </c>
      <c r="C7" s="133" t="s">
        <v>219</v>
      </c>
      <c r="D7" s="134">
        <v>34338</v>
      </c>
      <c r="E7" s="135"/>
      <c r="F7" s="136">
        <f t="shared" si="0"/>
        <v>1819529</v>
      </c>
    </row>
    <row r="8" spans="1:6" x14ac:dyDescent="0.25">
      <c r="A8" s="69">
        <v>44356</v>
      </c>
      <c r="B8" s="118">
        <v>106</v>
      </c>
      <c r="C8" s="133" t="s">
        <v>118</v>
      </c>
      <c r="D8" s="75">
        <v>93750</v>
      </c>
      <c r="E8" s="73"/>
      <c r="F8" s="76">
        <f t="shared" si="0"/>
        <v>1913279</v>
      </c>
    </row>
    <row r="9" spans="1:6" x14ac:dyDescent="0.25">
      <c r="A9" s="69">
        <v>44356</v>
      </c>
      <c r="B9" s="118">
        <v>106</v>
      </c>
      <c r="C9" s="133" t="s">
        <v>119</v>
      </c>
      <c r="D9" s="75">
        <v>8000</v>
      </c>
      <c r="E9" s="73">
        <v>300000</v>
      </c>
      <c r="F9" s="76">
        <f>F8+D9-E9</f>
        <v>1621279</v>
      </c>
    </row>
    <row r="10" spans="1:6" x14ac:dyDescent="0.25">
      <c r="A10" s="69">
        <v>44356</v>
      </c>
      <c r="B10" s="118">
        <v>107</v>
      </c>
      <c r="C10" s="71" t="s">
        <v>120</v>
      </c>
      <c r="D10" s="75">
        <v>30000</v>
      </c>
      <c r="E10" s="73"/>
      <c r="F10" s="74">
        <f>F9+D10-E10</f>
        <v>1651279</v>
      </c>
    </row>
    <row r="11" spans="1:6" x14ac:dyDescent="0.25">
      <c r="A11" s="69">
        <v>44417</v>
      </c>
      <c r="B11" s="118">
        <v>108</v>
      </c>
      <c r="C11" s="133" t="s">
        <v>121</v>
      </c>
      <c r="D11" s="75">
        <v>9000</v>
      </c>
      <c r="E11" s="73"/>
      <c r="F11" s="74">
        <f t="shared" ref="F11:F72" si="1">F10+D11-E11</f>
        <v>1660279</v>
      </c>
    </row>
    <row r="12" spans="1:6" x14ac:dyDescent="0.25">
      <c r="A12" s="69">
        <v>44417</v>
      </c>
      <c r="B12" s="118">
        <v>109</v>
      </c>
      <c r="C12" s="71" t="s">
        <v>122</v>
      </c>
      <c r="D12" s="75">
        <v>3250</v>
      </c>
      <c r="E12" s="73"/>
      <c r="F12" s="74">
        <f t="shared" si="1"/>
        <v>1663529</v>
      </c>
    </row>
    <row r="13" spans="1:6" x14ac:dyDescent="0.25">
      <c r="A13" s="69">
        <v>44417</v>
      </c>
      <c r="B13" s="118">
        <v>109</v>
      </c>
      <c r="C13" s="71" t="s">
        <v>123</v>
      </c>
      <c r="D13" s="75">
        <v>3250</v>
      </c>
      <c r="E13" s="73"/>
      <c r="F13" s="74">
        <f t="shared" si="1"/>
        <v>1666779</v>
      </c>
    </row>
    <row r="14" spans="1:6" x14ac:dyDescent="0.25">
      <c r="A14" s="69">
        <v>44417</v>
      </c>
      <c r="B14" s="118">
        <v>109</v>
      </c>
      <c r="C14" s="71" t="s">
        <v>124</v>
      </c>
      <c r="D14" s="75">
        <v>3250</v>
      </c>
      <c r="E14" s="73"/>
      <c r="F14" s="74">
        <f>F13+D14-E14</f>
        <v>1670029</v>
      </c>
    </row>
    <row r="15" spans="1:6" x14ac:dyDescent="0.25">
      <c r="A15" s="69">
        <v>44417</v>
      </c>
      <c r="B15" s="118">
        <v>109</v>
      </c>
      <c r="C15" s="133" t="s">
        <v>125</v>
      </c>
      <c r="D15" s="75">
        <v>3250</v>
      </c>
      <c r="E15" s="73"/>
      <c r="F15" s="74">
        <f t="shared" si="1"/>
        <v>1673279</v>
      </c>
    </row>
    <row r="16" spans="1:6" x14ac:dyDescent="0.25">
      <c r="A16" s="69">
        <v>44417</v>
      </c>
      <c r="B16" s="118">
        <v>109</v>
      </c>
      <c r="C16" s="133" t="s">
        <v>126</v>
      </c>
      <c r="D16" s="75">
        <v>3250</v>
      </c>
      <c r="E16" s="73"/>
      <c r="F16" s="74">
        <f t="shared" si="1"/>
        <v>1676529</v>
      </c>
    </row>
    <row r="17" spans="1:6" x14ac:dyDescent="0.25">
      <c r="A17" s="69">
        <v>44417</v>
      </c>
      <c r="B17" s="118">
        <v>110</v>
      </c>
      <c r="C17" s="133" t="s">
        <v>127</v>
      </c>
      <c r="D17" s="75">
        <v>58000</v>
      </c>
      <c r="E17" s="73"/>
      <c r="F17" s="74">
        <f t="shared" si="1"/>
        <v>1734529</v>
      </c>
    </row>
    <row r="18" spans="1:6" x14ac:dyDescent="0.25">
      <c r="A18" s="69">
        <v>44417</v>
      </c>
      <c r="B18" s="118">
        <v>110</v>
      </c>
      <c r="C18" s="133" t="s">
        <v>220</v>
      </c>
      <c r="D18" s="75">
        <v>7500</v>
      </c>
      <c r="E18" s="73"/>
      <c r="F18" s="74">
        <f t="shared" si="1"/>
        <v>1742029</v>
      </c>
    </row>
    <row r="19" spans="1:6" s="137" customFormat="1" x14ac:dyDescent="0.25">
      <c r="A19" s="131">
        <v>44509</v>
      </c>
      <c r="B19" s="132">
        <v>111</v>
      </c>
      <c r="C19" s="133" t="s">
        <v>128</v>
      </c>
      <c r="D19" s="134">
        <v>7500</v>
      </c>
      <c r="E19" s="135"/>
      <c r="F19" s="138">
        <f t="shared" si="1"/>
        <v>1749529</v>
      </c>
    </row>
    <row r="20" spans="1:6" x14ac:dyDescent="0.25">
      <c r="A20" s="69">
        <v>44509</v>
      </c>
      <c r="B20" s="118">
        <v>112</v>
      </c>
      <c r="C20" s="133" t="s">
        <v>129</v>
      </c>
      <c r="D20" s="75">
        <v>7750</v>
      </c>
      <c r="E20" s="73"/>
      <c r="F20" s="74">
        <f>F19+D20-E20</f>
        <v>1757279</v>
      </c>
    </row>
    <row r="21" spans="1:6" x14ac:dyDescent="0.25">
      <c r="A21" s="69">
        <v>44509</v>
      </c>
      <c r="B21" s="118">
        <v>113</v>
      </c>
      <c r="C21" s="133" t="s">
        <v>131</v>
      </c>
      <c r="D21" s="75">
        <v>47187</v>
      </c>
      <c r="E21" s="73"/>
      <c r="F21" s="74">
        <f t="shared" si="1"/>
        <v>1804466</v>
      </c>
    </row>
    <row r="22" spans="1:6" x14ac:dyDescent="0.25">
      <c r="A22" s="69">
        <v>44509</v>
      </c>
      <c r="B22" s="118">
        <v>114</v>
      </c>
      <c r="C22" s="71" t="s">
        <v>132</v>
      </c>
      <c r="D22" s="75">
        <v>4420</v>
      </c>
      <c r="E22" s="73"/>
      <c r="F22" s="74">
        <f t="shared" si="1"/>
        <v>1808886</v>
      </c>
    </row>
    <row r="23" spans="1:6" x14ac:dyDescent="0.25">
      <c r="A23" s="69" t="s">
        <v>130</v>
      </c>
      <c r="B23" s="118">
        <v>116</v>
      </c>
      <c r="C23" s="133" t="s">
        <v>221</v>
      </c>
      <c r="D23" s="75">
        <v>6270</v>
      </c>
      <c r="E23" s="73"/>
      <c r="F23" s="74">
        <f t="shared" si="1"/>
        <v>1815156</v>
      </c>
    </row>
    <row r="24" spans="1:6" x14ac:dyDescent="0.25">
      <c r="A24" s="69" t="s">
        <v>130</v>
      </c>
      <c r="B24" s="118">
        <v>116</v>
      </c>
      <c r="C24" s="133" t="s">
        <v>133</v>
      </c>
      <c r="D24" s="75">
        <v>12540</v>
      </c>
      <c r="E24" s="73"/>
      <c r="F24" s="74">
        <f t="shared" si="1"/>
        <v>1827696</v>
      </c>
    </row>
    <row r="25" spans="1:6" x14ac:dyDescent="0.25">
      <c r="A25" s="69" t="s">
        <v>130</v>
      </c>
      <c r="B25" s="118">
        <v>117</v>
      </c>
      <c r="C25" s="133" t="s">
        <v>134</v>
      </c>
      <c r="D25" s="75">
        <v>36120</v>
      </c>
      <c r="E25" s="73"/>
      <c r="F25" s="74">
        <f t="shared" si="1"/>
        <v>1863816</v>
      </c>
    </row>
    <row r="26" spans="1:6" s="128" customFormat="1" x14ac:dyDescent="0.25">
      <c r="A26" s="122"/>
      <c r="B26" s="123"/>
      <c r="C26" s="124"/>
      <c r="D26" s="125"/>
      <c r="E26" s="126"/>
      <c r="F26" s="74">
        <f t="shared" si="1"/>
        <v>1863816</v>
      </c>
    </row>
    <row r="27" spans="1:6" x14ac:dyDescent="0.25">
      <c r="A27" s="69" t="s">
        <v>135</v>
      </c>
      <c r="B27" s="118">
        <v>121</v>
      </c>
      <c r="C27" s="71" t="s">
        <v>136</v>
      </c>
      <c r="D27" s="75">
        <v>6250</v>
      </c>
      <c r="E27" s="73"/>
      <c r="F27" s="74">
        <f t="shared" si="1"/>
        <v>1870066</v>
      </c>
    </row>
    <row r="28" spans="1:6" x14ac:dyDescent="0.25">
      <c r="A28" s="69" t="s">
        <v>137</v>
      </c>
      <c r="B28" s="118">
        <v>119</v>
      </c>
      <c r="C28" s="133" t="s">
        <v>138</v>
      </c>
      <c r="D28" s="75">
        <v>37200</v>
      </c>
      <c r="E28" s="73"/>
      <c r="F28" s="74">
        <f t="shared" si="1"/>
        <v>1907266</v>
      </c>
    </row>
    <row r="29" spans="1:6" x14ac:dyDescent="0.25">
      <c r="A29" s="69" t="s">
        <v>139</v>
      </c>
      <c r="B29" s="118">
        <v>122</v>
      </c>
      <c r="C29" s="133" t="s">
        <v>140</v>
      </c>
      <c r="D29" s="75">
        <v>23250</v>
      </c>
      <c r="E29" s="73"/>
      <c r="F29" s="74">
        <f t="shared" si="1"/>
        <v>1930516</v>
      </c>
    </row>
    <row r="30" spans="1:6" x14ac:dyDescent="0.25">
      <c r="A30" s="69" t="s">
        <v>139</v>
      </c>
      <c r="B30" s="118">
        <v>123</v>
      </c>
      <c r="C30" s="133" t="s">
        <v>141</v>
      </c>
      <c r="D30" s="75">
        <v>51113</v>
      </c>
      <c r="E30" s="73"/>
      <c r="F30" s="74">
        <f t="shared" si="1"/>
        <v>1981629</v>
      </c>
    </row>
    <row r="31" spans="1:6" x14ac:dyDescent="0.25">
      <c r="A31" s="69" t="s">
        <v>139</v>
      </c>
      <c r="B31" s="127">
        <v>124132</v>
      </c>
      <c r="C31" s="133" t="s">
        <v>142</v>
      </c>
      <c r="D31" s="75">
        <v>58825</v>
      </c>
      <c r="E31" s="73"/>
      <c r="F31" s="74">
        <f t="shared" si="1"/>
        <v>2040454</v>
      </c>
    </row>
    <row r="32" spans="1:6" x14ac:dyDescent="0.25">
      <c r="A32" s="69" t="s">
        <v>139</v>
      </c>
      <c r="B32" s="127">
        <v>124132</v>
      </c>
      <c r="C32" s="133" t="s">
        <v>143</v>
      </c>
      <c r="D32" s="75">
        <v>5000</v>
      </c>
      <c r="E32" s="73"/>
      <c r="F32" s="74">
        <f t="shared" si="1"/>
        <v>2045454</v>
      </c>
    </row>
    <row r="33" spans="1:6" x14ac:dyDescent="0.25">
      <c r="A33" s="69" t="s">
        <v>139</v>
      </c>
      <c r="B33" s="118">
        <v>125</v>
      </c>
      <c r="C33" s="71" t="s">
        <v>144</v>
      </c>
      <c r="D33" s="75">
        <v>10000</v>
      </c>
      <c r="E33" s="73"/>
      <c r="F33" s="74">
        <f t="shared" si="1"/>
        <v>2055454</v>
      </c>
    </row>
    <row r="34" spans="1:6" x14ac:dyDescent="0.25">
      <c r="A34" s="69" t="s">
        <v>139</v>
      </c>
      <c r="B34" s="127">
        <v>126130</v>
      </c>
      <c r="C34" s="133" t="s">
        <v>145</v>
      </c>
      <c r="D34" s="75">
        <v>60938</v>
      </c>
      <c r="E34" s="73"/>
      <c r="F34" s="74">
        <f t="shared" si="1"/>
        <v>2116392</v>
      </c>
    </row>
    <row r="35" spans="1:6" s="137" customFormat="1" x14ac:dyDescent="0.25">
      <c r="A35" s="131" t="s">
        <v>139</v>
      </c>
      <c r="B35" s="139">
        <v>126130</v>
      </c>
      <c r="C35" s="133" t="s">
        <v>146</v>
      </c>
      <c r="D35" s="134">
        <v>5000</v>
      </c>
      <c r="E35" s="135">
        <v>300000</v>
      </c>
      <c r="F35" s="138">
        <f t="shared" si="1"/>
        <v>1821392</v>
      </c>
    </row>
    <row r="36" spans="1:6" s="137" customFormat="1" x14ac:dyDescent="0.25">
      <c r="A36" s="131" t="s">
        <v>139</v>
      </c>
      <c r="B36" s="132">
        <v>127</v>
      </c>
      <c r="C36" s="133" t="s">
        <v>147</v>
      </c>
      <c r="D36" s="134">
        <v>43408.5</v>
      </c>
      <c r="E36" s="135"/>
      <c r="F36" s="138">
        <f t="shared" si="1"/>
        <v>1864800.5</v>
      </c>
    </row>
    <row r="37" spans="1:6" s="137" customFormat="1" x14ac:dyDescent="0.25">
      <c r="A37" s="131" t="s">
        <v>139</v>
      </c>
      <c r="B37" s="132">
        <v>128</v>
      </c>
      <c r="C37" s="133" t="s">
        <v>148</v>
      </c>
      <c r="D37" s="134">
        <v>40300</v>
      </c>
      <c r="E37" s="135"/>
      <c r="F37" s="138">
        <f t="shared" si="1"/>
        <v>1905100.5</v>
      </c>
    </row>
    <row r="38" spans="1:6" x14ac:dyDescent="0.25">
      <c r="A38" s="69" t="s">
        <v>139</v>
      </c>
      <c r="B38" s="118">
        <v>131</v>
      </c>
      <c r="C38" s="133" t="s">
        <v>149</v>
      </c>
      <c r="D38" s="75">
        <v>5000</v>
      </c>
      <c r="E38" s="73"/>
      <c r="F38" s="74">
        <f t="shared" si="1"/>
        <v>1910100.5</v>
      </c>
    </row>
    <row r="39" spans="1:6" x14ac:dyDescent="0.25">
      <c r="A39" s="69" t="s">
        <v>139</v>
      </c>
      <c r="B39" s="118">
        <v>129</v>
      </c>
      <c r="C39" s="133" t="s">
        <v>150</v>
      </c>
      <c r="D39" s="75">
        <v>15937.5</v>
      </c>
      <c r="E39" s="73"/>
      <c r="F39" s="74">
        <f t="shared" si="1"/>
        <v>1926038</v>
      </c>
    </row>
    <row r="40" spans="1:6" x14ac:dyDescent="0.25">
      <c r="A40" s="69" t="s">
        <v>139</v>
      </c>
      <c r="B40" s="118">
        <v>133</v>
      </c>
      <c r="C40" s="133" t="s">
        <v>173</v>
      </c>
      <c r="D40" s="75">
        <v>3900</v>
      </c>
      <c r="E40" s="73"/>
      <c r="F40" s="74">
        <f>F39+D40-E40</f>
        <v>1929938</v>
      </c>
    </row>
    <row r="41" spans="1:6" x14ac:dyDescent="0.25">
      <c r="A41" s="69" t="s">
        <v>139</v>
      </c>
      <c r="B41" s="118">
        <v>134</v>
      </c>
      <c r="C41" s="133" t="s">
        <v>144</v>
      </c>
      <c r="D41" s="75">
        <v>10000</v>
      </c>
      <c r="E41" s="73"/>
      <c r="F41" s="74">
        <f>F40+D41-E41</f>
        <v>1939938</v>
      </c>
    </row>
    <row r="42" spans="1:6" x14ac:dyDescent="0.25">
      <c r="A42" s="69" t="s">
        <v>177</v>
      </c>
      <c r="B42" s="118"/>
      <c r="C42" s="133" t="s">
        <v>178</v>
      </c>
      <c r="D42" s="75">
        <v>3000</v>
      </c>
      <c r="E42" s="73"/>
      <c r="F42" s="74">
        <f>F41+D42-E42</f>
        <v>1942938</v>
      </c>
    </row>
    <row r="43" spans="1:6" x14ac:dyDescent="0.25">
      <c r="A43" s="69" t="s">
        <v>139</v>
      </c>
      <c r="B43" s="118">
        <v>135</v>
      </c>
      <c r="C43" s="71" t="s">
        <v>174</v>
      </c>
      <c r="D43" s="75">
        <v>46562</v>
      </c>
      <c r="E43" s="73"/>
      <c r="F43" s="74">
        <f>F42+D43-E43</f>
        <v>1989500</v>
      </c>
    </row>
    <row r="44" spans="1:6" s="137" customFormat="1" x14ac:dyDescent="0.25">
      <c r="A44" s="131" t="s">
        <v>130</v>
      </c>
      <c r="B44" s="132">
        <v>118</v>
      </c>
      <c r="C44" s="133" t="s">
        <v>158</v>
      </c>
      <c r="D44" s="134">
        <v>38125</v>
      </c>
      <c r="E44" s="135"/>
      <c r="F44" s="138">
        <f t="shared" ref="F44" si="2">F43+D44-E44</f>
        <v>2027625</v>
      </c>
    </row>
    <row r="45" spans="1:6" x14ac:dyDescent="0.25">
      <c r="A45" s="69" t="s">
        <v>151</v>
      </c>
      <c r="B45" s="118">
        <v>136</v>
      </c>
      <c r="C45" s="133" t="s">
        <v>152</v>
      </c>
      <c r="D45" s="75">
        <v>25350</v>
      </c>
      <c r="E45" s="73"/>
      <c r="F45" s="74">
        <f t="shared" si="1"/>
        <v>2052975</v>
      </c>
    </row>
    <row r="46" spans="1:6" x14ac:dyDescent="0.25">
      <c r="A46" s="69" t="s">
        <v>151</v>
      </c>
      <c r="B46" s="118">
        <v>137</v>
      </c>
      <c r="C46" s="133" t="s">
        <v>153</v>
      </c>
      <c r="D46" s="75">
        <v>31250</v>
      </c>
      <c r="E46" s="73">
        <v>350000</v>
      </c>
      <c r="F46" s="74">
        <f t="shared" si="1"/>
        <v>1734225</v>
      </c>
    </row>
    <row r="47" spans="1:6" x14ac:dyDescent="0.25">
      <c r="A47" s="69" t="s">
        <v>151</v>
      </c>
      <c r="B47" s="118">
        <v>138</v>
      </c>
      <c r="C47" s="133" t="s">
        <v>154</v>
      </c>
      <c r="D47" s="75">
        <v>65975</v>
      </c>
      <c r="E47" s="73"/>
      <c r="F47" s="74">
        <f t="shared" si="1"/>
        <v>1800200</v>
      </c>
    </row>
    <row r="48" spans="1:6" x14ac:dyDescent="0.25">
      <c r="A48" s="69" t="s">
        <v>137</v>
      </c>
      <c r="B48" s="118">
        <v>139</v>
      </c>
      <c r="C48" s="133" t="s">
        <v>155</v>
      </c>
      <c r="D48" s="75">
        <v>90880</v>
      </c>
      <c r="E48" s="73"/>
      <c r="F48" s="74">
        <f t="shared" si="1"/>
        <v>1891080</v>
      </c>
    </row>
    <row r="49" spans="1:6" x14ac:dyDescent="0.25">
      <c r="A49" s="69" t="s">
        <v>137</v>
      </c>
      <c r="B49" s="118">
        <v>140</v>
      </c>
      <c r="C49" s="133" t="s">
        <v>156</v>
      </c>
      <c r="D49" s="75">
        <v>5000</v>
      </c>
      <c r="E49" s="73"/>
      <c r="F49" s="74">
        <f t="shared" si="1"/>
        <v>1896080</v>
      </c>
    </row>
    <row r="50" spans="1:6" x14ac:dyDescent="0.25">
      <c r="A50" s="69" t="s">
        <v>137</v>
      </c>
      <c r="B50" s="118">
        <v>141</v>
      </c>
      <c r="C50" s="133" t="s">
        <v>157</v>
      </c>
      <c r="D50" s="75">
        <v>32250</v>
      </c>
      <c r="E50" s="73"/>
      <c r="F50" s="74">
        <f t="shared" si="1"/>
        <v>1928330</v>
      </c>
    </row>
    <row r="51" spans="1:6" x14ac:dyDescent="0.25">
      <c r="A51" s="69" t="s">
        <v>137</v>
      </c>
      <c r="B51" s="118">
        <v>142</v>
      </c>
      <c r="C51" s="133" t="s">
        <v>158</v>
      </c>
      <c r="D51" s="75">
        <v>38125</v>
      </c>
      <c r="E51" s="73"/>
      <c r="F51" s="74">
        <f t="shared" si="1"/>
        <v>1966455</v>
      </c>
    </row>
    <row r="52" spans="1:6" s="137" customFormat="1" x14ac:dyDescent="0.25">
      <c r="A52" s="131" t="s">
        <v>137</v>
      </c>
      <c r="B52" s="132">
        <v>142</v>
      </c>
      <c r="C52" s="133" t="s">
        <v>159</v>
      </c>
      <c r="D52" s="134">
        <v>3500</v>
      </c>
      <c r="E52" s="135"/>
      <c r="F52" s="138">
        <f t="shared" si="1"/>
        <v>1969955</v>
      </c>
    </row>
    <row r="53" spans="1:6" s="137" customFormat="1" x14ac:dyDescent="0.25">
      <c r="A53" s="131" t="s">
        <v>137</v>
      </c>
      <c r="B53" s="132">
        <v>142</v>
      </c>
      <c r="C53" s="133" t="s">
        <v>160</v>
      </c>
      <c r="D53" s="134">
        <v>17500</v>
      </c>
      <c r="E53" s="135"/>
      <c r="F53" s="138">
        <f t="shared" si="1"/>
        <v>1987455</v>
      </c>
    </row>
    <row r="54" spans="1:6" x14ac:dyDescent="0.25">
      <c r="A54" s="69" t="s">
        <v>165</v>
      </c>
      <c r="B54" s="118">
        <v>143</v>
      </c>
      <c r="C54" s="133" t="s">
        <v>161</v>
      </c>
      <c r="D54" s="75">
        <v>96427</v>
      </c>
      <c r="E54" s="73">
        <v>400000</v>
      </c>
      <c r="F54" s="74">
        <f t="shared" si="1"/>
        <v>1683882</v>
      </c>
    </row>
    <row r="55" spans="1:6" x14ac:dyDescent="0.25">
      <c r="A55" s="69" t="s">
        <v>165</v>
      </c>
      <c r="B55" s="118">
        <v>144</v>
      </c>
      <c r="C55" s="133" t="s">
        <v>162</v>
      </c>
      <c r="D55" s="75">
        <v>15532.5</v>
      </c>
      <c r="E55" s="73"/>
      <c r="F55" s="74">
        <f t="shared" si="1"/>
        <v>1699414.5</v>
      </c>
    </row>
    <row r="56" spans="1:6" x14ac:dyDescent="0.25">
      <c r="A56" s="69" t="s">
        <v>165</v>
      </c>
      <c r="B56" s="118">
        <v>146</v>
      </c>
      <c r="C56" s="133" t="s">
        <v>163</v>
      </c>
      <c r="D56" s="75">
        <v>65650</v>
      </c>
      <c r="E56" s="73"/>
      <c r="F56" s="74">
        <f t="shared" si="1"/>
        <v>1765064.5</v>
      </c>
    </row>
    <row r="57" spans="1:6" x14ac:dyDescent="0.25">
      <c r="A57" s="69" t="s">
        <v>165</v>
      </c>
      <c r="B57" s="118">
        <v>146</v>
      </c>
      <c r="C57" s="133" t="s">
        <v>164</v>
      </c>
      <c r="D57" s="75">
        <v>10000</v>
      </c>
      <c r="E57" s="73"/>
      <c r="F57" s="74">
        <f t="shared" si="1"/>
        <v>1775064.5</v>
      </c>
    </row>
    <row r="58" spans="1:6" x14ac:dyDescent="0.25">
      <c r="A58" s="69" t="s">
        <v>165</v>
      </c>
      <c r="B58" s="118">
        <v>147</v>
      </c>
      <c r="C58" s="133" t="s">
        <v>166</v>
      </c>
      <c r="D58" s="75">
        <v>64896</v>
      </c>
      <c r="E58" s="73"/>
      <c r="F58" s="74">
        <f t="shared" si="1"/>
        <v>1839960.5</v>
      </c>
    </row>
    <row r="59" spans="1:6" x14ac:dyDescent="0.25">
      <c r="A59" s="69" t="s">
        <v>165</v>
      </c>
      <c r="B59" s="118">
        <v>145</v>
      </c>
      <c r="C59" s="133" t="s">
        <v>167</v>
      </c>
      <c r="D59" s="75">
        <v>45000</v>
      </c>
      <c r="E59" s="73"/>
      <c r="F59" s="74">
        <f t="shared" si="1"/>
        <v>1884960.5</v>
      </c>
    </row>
    <row r="60" spans="1:6" x14ac:dyDescent="0.25">
      <c r="A60" s="69" t="s">
        <v>170</v>
      </c>
      <c r="B60" s="118" t="s">
        <v>168</v>
      </c>
      <c r="C60" s="133" t="s">
        <v>171</v>
      </c>
      <c r="D60" s="75">
        <v>44100</v>
      </c>
      <c r="E60" s="73"/>
      <c r="F60" s="74">
        <f t="shared" si="1"/>
        <v>1929060.5</v>
      </c>
    </row>
    <row r="61" spans="1:6" x14ac:dyDescent="0.25">
      <c r="A61" s="69" t="s">
        <v>170</v>
      </c>
      <c r="B61" s="118" t="s">
        <v>169</v>
      </c>
      <c r="C61" s="133" t="s">
        <v>172</v>
      </c>
      <c r="D61" s="75">
        <v>5000</v>
      </c>
      <c r="E61" s="73"/>
      <c r="F61" s="74">
        <f t="shared" si="1"/>
        <v>1934060.5</v>
      </c>
    </row>
    <row r="62" spans="1:6" x14ac:dyDescent="0.25">
      <c r="A62" s="69" t="s">
        <v>170</v>
      </c>
      <c r="B62" s="118">
        <v>150</v>
      </c>
      <c r="C62" s="71" t="s">
        <v>175</v>
      </c>
      <c r="D62" s="75">
        <v>6000</v>
      </c>
      <c r="E62" s="73"/>
      <c r="F62" s="74">
        <f t="shared" si="1"/>
        <v>1940060.5</v>
      </c>
    </row>
    <row r="63" spans="1:6" x14ac:dyDescent="0.25">
      <c r="A63" s="69" t="s">
        <v>170</v>
      </c>
      <c r="B63" s="118"/>
      <c r="C63" s="71"/>
      <c r="D63" s="75"/>
      <c r="E63" s="73"/>
      <c r="F63" s="74">
        <f t="shared" si="1"/>
        <v>1940060.5</v>
      </c>
    </row>
    <row r="64" spans="1:6" x14ac:dyDescent="0.25">
      <c r="A64" s="69" t="s">
        <v>170</v>
      </c>
      <c r="B64" s="118"/>
      <c r="C64" s="71"/>
      <c r="D64" s="75"/>
      <c r="E64" s="73"/>
      <c r="F64" s="74">
        <f t="shared" si="1"/>
        <v>1940060.5</v>
      </c>
    </row>
    <row r="65" spans="1:6" x14ac:dyDescent="0.25">
      <c r="A65" s="69" t="s">
        <v>170</v>
      </c>
      <c r="B65" s="118"/>
      <c r="C65" s="71"/>
      <c r="D65" s="75"/>
      <c r="E65" s="73"/>
      <c r="F65" s="74">
        <f t="shared" si="1"/>
        <v>1940060.5</v>
      </c>
    </row>
    <row r="66" spans="1:6" x14ac:dyDescent="0.25">
      <c r="A66" s="69" t="s">
        <v>170</v>
      </c>
      <c r="B66" s="118"/>
      <c r="C66" s="71"/>
      <c r="D66" s="75"/>
      <c r="E66" s="73"/>
      <c r="F66" s="74">
        <f t="shared" si="1"/>
        <v>1940060.5</v>
      </c>
    </row>
    <row r="67" spans="1:6" x14ac:dyDescent="0.25">
      <c r="A67" s="69" t="s">
        <v>170</v>
      </c>
      <c r="B67" s="118"/>
      <c r="C67" s="71"/>
      <c r="D67" s="75"/>
      <c r="E67" s="73"/>
      <c r="F67" s="74">
        <f t="shared" si="1"/>
        <v>1940060.5</v>
      </c>
    </row>
    <row r="68" spans="1:6" x14ac:dyDescent="0.25">
      <c r="A68" s="69" t="s">
        <v>170</v>
      </c>
      <c r="B68" s="118"/>
      <c r="C68" s="71"/>
      <c r="D68" s="75"/>
      <c r="E68" s="73"/>
      <c r="F68" s="74">
        <f t="shared" si="1"/>
        <v>1940060.5</v>
      </c>
    </row>
    <row r="69" spans="1:6" x14ac:dyDescent="0.25">
      <c r="A69" s="69" t="s">
        <v>170</v>
      </c>
      <c r="B69" s="118"/>
      <c r="C69" s="71"/>
      <c r="D69" s="75"/>
      <c r="E69" s="73"/>
      <c r="F69" s="74">
        <f t="shared" si="1"/>
        <v>1940060.5</v>
      </c>
    </row>
    <row r="70" spans="1:6" x14ac:dyDescent="0.25">
      <c r="A70" s="69" t="s">
        <v>170</v>
      </c>
      <c r="B70" s="118"/>
      <c r="C70" s="71"/>
      <c r="D70" s="75"/>
      <c r="E70" s="73"/>
      <c r="F70" s="74">
        <f t="shared" si="1"/>
        <v>1940060.5</v>
      </c>
    </row>
    <row r="71" spans="1:6" x14ac:dyDescent="0.25">
      <c r="A71" s="69" t="s">
        <v>170</v>
      </c>
      <c r="B71" s="118"/>
      <c r="C71" s="71"/>
      <c r="D71" s="75"/>
      <c r="E71" s="73"/>
      <c r="F71" s="74">
        <f t="shared" si="1"/>
        <v>1940060.5</v>
      </c>
    </row>
    <row r="72" spans="1:6" x14ac:dyDescent="0.25">
      <c r="A72" s="69" t="s">
        <v>170</v>
      </c>
      <c r="B72" s="118"/>
      <c r="C72" s="71"/>
      <c r="D72" s="75"/>
      <c r="E72" s="73"/>
      <c r="F72" s="74">
        <f t="shared" si="1"/>
        <v>1940060.5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4A87-F30A-47EB-A892-C5BB685F63E3}">
  <sheetPr codeName="Sheet5">
    <pageSetUpPr fitToPage="1"/>
  </sheetPr>
  <dimension ref="A1:F46"/>
  <sheetViews>
    <sheetView topLeftCell="A39" zoomScaleNormal="100" workbookViewId="0">
      <selection activeCell="D53" sqref="D53"/>
    </sheetView>
  </sheetViews>
  <sheetFormatPr defaultRowHeight="15" x14ac:dyDescent="0.25"/>
  <cols>
    <col min="1" max="1" width="10.7109375" bestFit="1" customWidth="1"/>
    <col min="2" max="2" width="20.85546875" customWidth="1"/>
    <col min="3" max="3" width="43.28515625" customWidth="1"/>
    <col min="4" max="4" width="33" customWidth="1"/>
    <col min="5" max="5" width="31.7109375" customWidth="1"/>
    <col min="6" max="6" width="53.85546875" customWidth="1"/>
  </cols>
  <sheetData>
    <row r="1" spans="1:6" ht="19.5" thickBot="1" x14ac:dyDescent="0.3">
      <c r="A1" s="44" t="s">
        <v>0</v>
      </c>
      <c r="B1" s="45" t="s">
        <v>5</v>
      </c>
      <c r="C1" s="45" t="s">
        <v>1</v>
      </c>
      <c r="D1" s="46" t="s">
        <v>2</v>
      </c>
      <c r="E1" s="47" t="s">
        <v>3</v>
      </c>
      <c r="F1" s="48" t="s">
        <v>4</v>
      </c>
    </row>
    <row r="2" spans="1:6" x14ac:dyDescent="0.25">
      <c r="A2" s="49"/>
      <c r="B2" s="50"/>
      <c r="C2" s="51"/>
      <c r="D2" s="52"/>
      <c r="E2" s="53"/>
      <c r="F2" s="54">
        <v>1940060</v>
      </c>
    </row>
    <row r="3" spans="1:6" x14ac:dyDescent="0.25">
      <c r="A3" s="49">
        <v>44237</v>
      </c>
      <c r="B3" s="56">
        <v>152</v>
      </c>
      <c r="C3" s="51" t="s">
        <v>179</v>
      </c>
      <c r="D3" s="58">
        <v>65000</v>
      </c>
      <c r="E3" s="53"/>
      <c r="F3" s="54">
        <f>F2+D3-E3</f>
        <v>2005060</v>
      </c>
    </row>
    <row r="4" spans="1:6" x14ac:dyDescent="0.25">
      <c r="A4" s="49">
        <v>44237</v>
      </c>
      <c r="B4" s="56">
        <v>152</v>
      </c>
      <c r="C4" s="51" t="s">
        <v>255</v>
      </c>
      <c r="D4" s="58">
        <v>5200</v>
      </c>
      <c r="E4" s="53"/>
      <c r="F4" s="60">
        <f>F3+D4-E4</f>
        <v>2010260</v>
      </c>
    </row>
    <row r="5" spans="1:6" x14ac:dyDescent="0.25">
      <c r="A5" s="49">
        <v>44296</v>
      </c>
      <c r="B5" s="56">
        <v>153</v>
      </c>
      <c r="C5" s="51" t="s">
        <v>180</v>
      </c>
      <c r="D5" s="58">
        <v>64640</v>
      </c>
      <c r="E5" s="53"/>
      <c r="F5" s="60">
        <f t="shared" ref="F5:F45" si="0">F4+D5-E5</f>
        <v>2074900</v>
      </c>
    </row>
    <row r="6" spans="1:6" x14ac:dyDescent="0.25">
      <c r="A6" s="49">
        <v>44296</v>
      </c>
      <c r="B6" s="56">
        <v>153</v>
      </c>
      <c r="C6" s="51" t="s">
        <v>181</v>
      </c>
      <c r="D6" s="58">
        <v>10000</v>
      </c>
      <c r="E6" s="53"/>
      <c r="F6" s="60">
        <f t="shared" si="0"/>
        <v>2084900</v>
      </c>
    </row>
    <row r="7" spans="1:6" x14ac:dyDescent="0.25">
      <c r="A7" s="49">
        <v>44296</v>
      </c>
      <c r="B7" s="56">
        <v>154</v>
      </c>
      <c r="C7" s="51" t="s">
        <v>182</v>
      </c>
      <c r="D7" s="58">
        <v>64512</v>
      </c>
      <c r="E7" s="53"/>
      <c r="F7" s="60">
        <f>F6+D7-E7</f>
        <v>2149412</v>
      </c>
    </row>
    <row r="8" spans="1:6" x14ac:dyDescent="0.25">
      <c r="A8" s="49">
        <v>44296</v>
      </c>
      <c r="B8" s="56">
        <v>154</v>
      </c>
      <c r="C8" s="51" t="s">
        <v>183</v>
      </c>
      <c r="D8" s="58">
        <v>5000</v>
      </c>
      <c r="E8" s="53"/>
      <c r="F8" s="60">
        <f>F7+D8-E8</f>
        <v>2154412</v>
      </c>
    </row>
    <row r="9" spans="1:6" x14ac:dyDescent="0.25">
      <c r="A9" s="49">
        <v>44296</v>
      </c>
      <c r="B9" s="56">
        <v>155</v>
      </c>
      <c r="C9" s="51" t="s">
        <v>184</v>
      </c>
      <c r="D9" s="58">
        <v>37800</v>
      </c>
      <c r="E9" s="53"/>
      <c r="F9" s="60">
        <f>F8+D9-E9</f>
        <v>2192212</v>
      </c>
    </row>
    <row r="10" spans="1:6" x14ac:dyDescent="0.25">
      <c r="A10" s="49">
        <v>44296</v>
      </c>
      <c r="B10" s="56">
        <v>156</v>
      </c>
      <c r="C10" s="51" t="s">
        <v>185</v>
      </c>
      <c r="D10" s="58">
        <v>26800</v>
      </c>
      <c r="E10" s="53"/>
      <c r="F10" s="60">
        <f t="shared" si="0"/>
        <v>2219012</v>
      </c>
    </row>
    <row r="11" spans="1:6" x14ac:dyDescent="0.25">
      <c r="A11" s="49">
        <v>44296</v>
      </c>
      <c r="B11" s="56">
        <v>156</v>
      </c>
      <c r="C11" s="51" t="s">
        <v>186</v>
      </c>
      <c r="D11" s="58">
        <v>6000</v>
      </c>
      <c r="E11" s="53"/>
      <c r="F11" s="60">
        <f t="shared" si="0"/>
        <v>2225012</v>
      </c>
    </row>
    <row r="12" spans="1:6" x14ac:dyDescent="0.25">
      <c r="A12" s="49">
        <v>44296</v>
      </c>
      <c r="B12" s="56">
        <v>157</v>
      </c>
      <c r="C12" s="51" t="s">
        <v>187</v>
      </c>
      <c r="D12" s="58">
        <v>3000</v>
      </c>
      <c r="E12" s="53"/>
      <c r="F12" s="60">
        <f t="shared" si="0"/>
        <v>2228012</v>
      </c>
    </row>
    <row r="13" spans="1:6" x14ac:dyDescent="0.25">
      <c r="A13" s="49">
        <v>44296</v>
      </c>
      <c r="B13" s="56">
        <v>157</v>
      </c>
      <c r="C13" s="51" t="s">
        <v>188</v>
      </c>
      <c r="D13" s="58">
        <v>3000</v>
      </c>
      <c r="E13" s="53"/>
      <c r="F13" s="60">
        <f t="shared" si="0"/>
        <v>2231012</v>
      </c>
    </row>
    <row r="14" spans="1:6" x14ac:dyDescent="0.25">
      <c r="A14" s="49">
        <v>44296</v>
      </c>
      <c r="B14" s="56">
        <v>157</v>
      </c>
      <c r="C14" s="51" t="s">
        <v>189</v>
      </c>
      <c r="D14" s="58">
        <v>3000</v>
      </c>
      <c r="E14" s="53"/>
      <c r="F14" s="60">
        <f>F13+D14-E14</f>
        <v>2234012</v>
      </c>
    </row>
    <row r="15" spans="1:6" x14ac:dyDescent="0.25">
      <c r="A15" s="49">
        <v>44387</v>
      </c>
      <c r="B15" s="56">
        <v>159</v>
      </c>
      <c r="C15" s="51" t="s">
        <v>180</v>
      </c>
      <c r="D15" s="58">
        <v>64640</v>
      </c>
      <c r="E15" s="53"/>
      <c r="F15" s="60">
        <f t="shared" si="0"/>
        <v>2298652</v>
      </c>
    </row>
    <row r="16" spans="1:6" x14ac:dyDescent="0.25">
      <c r="A16" s="49">
        <v>44387</v>
      </c>
      <c r="B16" s="56">
        <v>160</v>
      </c>
      <c r="C16" s="51" t="s">
        <v>190</v>
      </c>
      <c r="D16" s="58">
        <v>65152</v>
      </c>
      <c r="E16" s="53"/>
      <c r="F16" s="60">
        <f t="shared" si="0"/>
        <v>2363804</v>
      </c>
    </row>
    <row r="17" spans="1:6" x14ac:dyDescent="0.25">
      <c r="A17" s="49">
        <v>44387</v>
      </c>
      <c r="B17" s="56">
        <v>160</v>
      </c>
      <c r="C17" s="51" t="s">
        <v>191</v>
      </c>
      <c r="D17" s="58">
        <v>5000</v>
      </c>
      <c r="E17" s="53"/>
      <c r="F17" s="66">
        <f t="shared" si="0"/>
        <v>2368804</v>
      </c>
    </row>
    <row r="18" spans="1:6" x14ac:dyDescent="0.25">
      <c r="A18" s="49">
        <v>44510</v>
      </c>
      <c r="B18" s="56">
        <v>162</v>
      </c>
      <c r="C18" s="51" t="s">
        <v>218</v>
      </c>
      <c r="D18" s="58">
        <v>56800</v>
      </c>
      <c r="E18" s="53"/>
      <c r="F18" s="66">
        <f t="shared" si="0"/>
        <v>2425604</v>
      </c>
    </row>
    <row r="19" spans="1:6" x14ac:dyDescent="0.25">
      <c r="A19" s="49">
        <v>44540</v>
      </c>
      <c r="B19" s="56">
        <v>163</v>
      </c>
      <c r="C19" s="51" t="s">
        <v>192</v>
      </c>
      <c r="D19" s="58">
        <v>16400</v>
      </c>
      <c r="E19" s="53"/>
      <c r="F19" s="66">
        <f t="shared" si="0"/>
        <v>2442004</v>
      </c>
    </row>
    <row r="20" spans="1:6" x14ac:dyDescent="0.25">
      <c r="A20" s="49">
        <v>44540</v>
      </c>
      <c r="B20" s="56">
        <v>164</v>
      </c>
      <c r="C20" s="51" t="s">
        <v>193</v>
      </c>
      <c r="D20" s="58">
        <v>15000</v>
      </c>
      <c r="E20" s="53"/>
      <c r="F20" s="66">
        <f t="shared" si="0"/>
        <v>2457004</v>
      </c>
    </row>
    <row r="21" spans="1:6" x14ac:dyDescent="0.25">
      <c r="A21" s="49" t="s">
        <v>194</v>
      </c>
      <c r="B21" s="56">
        <v>165</v>
      </c>
      <c r="C21" s="51" t="s">
        <v>195</v>
      </c>
      <c r="D21" s="58">
        <v>66300</v>
      </c>
      <c r="E21" s="53"/>
      <c r="F21" s="60">
        <f>F20+D21-E21</f>
        <v>2523304</v>
      </c>
    </row>
    <row r="22" spans="1:6" x14ac:dyDescent="0.25">
      <c r="A22" s="49" t="s">
        <v>194</v>
      </c>
      <c r="B22" s="56">
        <v>165</v>
      </c>
      <c r="C22" s="51" t="s">
        <v>196</v>
      </c>
      <c r="D22" s="58">
        <v>12000</v>
      </c>
      <c r="E22" s="53"/>
      <c r="F22" s="60">
        <f t="shared" ref="F22:F23" si="1">F21+D22-E22</f>
        <v>2535304</v>
      </c>
    </row>
    <row r="23" spans="1:6" x14ac:dyDescent="0.25">
      <c r="A23" s="49" t="s">
        <v>194</v>
      </c>
      <c r="B23" s="56">
        <v>166</v>
      </c>
      <c r="C23" s="51" t="s">
        <v>198</v>
      </c>
      <c r="D23" s="58">
        <v>239700</v>
      </c>
      <c r="E23" s="53"/>
      <c r="F23" s="60">
        <f t="shared" si="1"/>
        <v>2775004</v>
      </c>
    </row>
    <row r="24" spans="1:6" x14ac:dyDescent="0.25">
      <c r="A24" s="49" t="s">
        <v>197</v>
      </c>
      <c r="B24" s="56">
        <v>168</v>
      </c>
      <c r="C24" s="51" t="s">
        <v>199</v>
      </c>
      <c r="D24" s="58">
        <v>42000</v>
      </c>
      <c r="E24" s="53"/>
      <c r="F24" s="66">
        <f>F23+D24-E24</f>
        <v>2817004</v>
      </c>
    </row>
    <row r="25" spans="1:6" x14ac:dyDescent="0.25">
      <c r="A25" s="49" t="s">
        <v>197</v>
      </c>
      <c r="B25" s="56">
        <v>169</v>
      </c>
      <c r="C25" s="51" t="s">
        <v>201</v>
      </c>
      <c r="D25" s="58">
        <v>32000</v>
      </c>
      <c r="E25" s="53"/>
      <c r="F25" s="60">
        <f t="shared" si="0"/>
        <v>2849004</v>
      </c>
    </row>
    <row r="26" spans="1:6" x14ac:dyDescent="0.25">
      <c r="A26" s="49" t="s">
        <v>197</v>
      </c>
      <c r="B26" s="56">
        <v>172</v>
      </c>
      <c r="C26" s="51" t="s">
        <v>202</v>
      </c>
      <c r="D26" s="58">
        <v>128000</v>
      </c>
      <c r="E26" s="53"/>
      <c r="F26" s="60">
        <f t="shared" si="0"/>
        <v>2977004</v>
      </c>
    </row>
    <row r="27" spans="1:6" x14ac:dyDescent="0.25">
      <c r="A27" s="49" t="s">
        <v>197</v>
      </c>
      <c r="B27" s="56">
        <v>173</v>
      </c>
      <c r="C27" s="51" t="s">
        <v>203</v>
      </c>
      <c r="D27" s="58">
        <v>30500</v>
      </c>
      <c r="E27" s="53"/>
      <c r="F27" s="66">
        <f t="shared" si="0"/>
        <v>3007504</v>
      </c>
    </row>
    <row r="28" spans="1:6" x14ac:dyDescent="0.25">
      <c r="A28" s="49" t="s">
        <v>197</v>
      </c>
      <c r="B28" s="56">
        <v>173</v>
      </c>
      <c r="C28" s="51" t="s">
        <v>204</v>
      </c>
      <c r="D28" s="58">
        <v>10000</v>
      </c>
      <c r="E28" s="53"/>
      <c r="F28" s="60">
        <f t="shared" si="0"/>
        <v>3017504</v>
      </c>
    </row>
    <row r="29" spans="1:6" x14ac:dyDescent="0.25">
      <c r="A29" s="49" t="s">
        <v>197</v>
      </c>
      <c r="B29" s="56">
        <v>170</v>
      </c>
      <c r="C29" s="51" t="s">
        <v>217</v>
      </c>
      <c r="D29" s="58">
        <v>20000</v>
      </c>
      <c r="E29" s="53"/>
      <c r="F29" s="60">
        <f t="shared" si="0"/>
        <v>3037504</v>
      </c>
    </row>
    <row r="30" spans="1:6" x14ac:dyDescent="0.25">
      <c r="A30" s="49" t="s">
        <v>200</v>
      </c>
      <c r="B30" s="56">
        <v>174</v>
      </c>
      <c r="C30" s="51" t="s">
        <v>205</v>
      </c>
      <c r="D30" s="58">
        <v>10000</v>
      </c>
      <c r="E30" s="53"/>
      <c r="F30" s="60">
        <f t="shared" si="0"/>
        <v>3047504</v>
      </c>
    </row>
    <row r="31" spans="1:6" x14ac:dyDescent="0.25">
      <c r="A31" s="49" t="s">
        <v>200</v>
      </c>
      <c r="B31" s="56">
        <v>176</v>
      </c>
      <c r="C31" s="51" t="s">
        <v>201</v>
      </c>
      <c r="D31" s="58">
        <v>32000</v>
      </c>
      <c r="E31" s="53"/>
      <c r="F31" s="60">
        <f t="shared" si="0"/>
        <v>3079504</v>
      </c>
    </row>
    <row r="32" spans="1:6" x14ac:dyDescent="0.25">
      <c r="A32" s="49" t="s">
        <v>200</v>
      </c>
      <c r="B32" s="56">
        <v>177</v>
      </c>
      <c r="C32" s="51" t="s">
        <v>206</v>
      </c>
      <c r="D32" s="58">
        <v>32000</v>
      </c>
      <c r="E32" s="53"/>
      <c r="F32" s="60">
        <f t="shared" si="0"/>
        <v>3111504</v>
      </c>
    </row>
    <row r="33" spans="1:6" x14ac:dyDescent="0.25">
      <c r="A33" s="49"/>
      <c r="B33" s="56">
        <v>179</v>
      </c>
      <c r="C33" s="51" t="s">
        <v>256</v>
      </c>
      <c r="D33" s="58">
        <v>10000</v>
      </c>
      <c r="E33" s="53"/>
      <c r="F33" s="60">
        <f t="shared" si="0"/>
        <v>3121504</v>
      </c>
    </row>
    <row r="34" spans="1:6" x14ac:dyDescent="0.25">
      <c r="A34" s="49"/>
      <c r="B34" s="56">
        <v>179</v>
      </c>
      <c r="C34" s="51" t="s">
        <v>257</v>
      </c>
      <c r="D34" s="58">
        <v>10000</v>
      </c>
      <c r="E34" s="53"/>
      <c r="F34" s="60">
        <f t="shared" si="0"/>
        <v>3131504</v>
      </c>
    </row>
    <row r="35" spans="1:6" x14ac:dyDescent="0.25">
      <c r="A35" s="49"/>
      <c r="B35" s="56">
        <v>179</v>
      </c>
      <c r="C35" s="51" t="s">
        <v>258</v>
      </c>
      <c r="D35" s="58">
        <v>10000</v>
      </c>
      <c r="E35" s="53"/>
      <c r="F35" s="60">
        <f t="shared" si="0"/>
        <v>3141504</v>
      </c>
    </row>
    <row r="36" spans="1:6" x14ac:dyDescent="0.25">
      <c r="A36" s="49"/>
      <c r="B36" s="56">
        <v>179</v>
      </c>
      <c r="C36" s="51" t="s">
        <v>259</v>
      </c>
      <c r="D36" s="58">
        <v>10000</v>
      </c>
      <c r="E36" s="53"/>
      <c r="F36" s="60">
        <f t="shared" si="0"/>
        <v>3151504</v>
      </c>
    </row>
    <row r="37" spans="1:6" x14ac:dyDescent="0.25">
      <c r="A37" s="49"/>
      <c r="B37" s="56">
        <v>179</v>
      </c>
      <c r="C37" s="51" t="s">
        <v>260</v>
      </c>
      <c r="D37" s="58">
        <v>10000</v>
      </c>
      <c r="E37" s="53"/>
      <c r="F37" s="60">
        <f t="shared" si="0"/>
        <v>3161504</v>
      </c>
    </row>
    <row r="38" spans="1:6" x14ac:dyDescent="0.25">
      <c r="A38" s="49" t="s">
        <v>207</v>
      </c>
      <c r="B38" s="56">
        <v>180</v>
      </c>
      <c r="C38" s="51" t="s">
        <v>208</v>
      </c>
      <c r="D38" s="58">
        <v>34000</v>
      </c>
      <c r="E38" s="53"/>
      <c r="F38" s="60">
        <f>F32+D38-E38</f>
        <v>3145504</v>
      </c>
    </row>
    <row r="39" spans="1:6" x14ac:dyDescent="0.25">
      <c r="A39" s="49" t="s">
        <v>207</v>
      </c>
      <c r="B39" s="56">
        <v>180</v>
      </c>
      <c r="C39" s="51" t="s">
        <v>209</v>
      </c>
      <c r="D39" s="58">
        <v>71750</v>
      </c>
      <c r="E39" s="53"/>
      <c r="F39" s="66">
        <f>F38+D39-E39</f>
        <v>3217254</v>
      </c>
    </row>
    <row r="40" spans="1:6" x14ac:dyDescent="0.25">
      <c r="A40" s="49" t="s">
        <v>207</v>
      </c>
      <c r="B40" s="56">
        <v>181</v>
      </c>
      <c r="C40" s="51" t="s">
        <v>210</v>
      </c>
      <c r="D40" s="58">
        <v>12500</v>
      </c>
      <c r="E40" s="53"/>
      <c r="F40" s="60">
        <f t="shared" si="0"/>
        <v>3229754</v>
      </c>
    </row>
    <row r="41" spans="1:6" x14ac:dyDescent="0.25">
      <c r="A41" s="49" t="s">
        <v>207</v>
      </c>
      <c r="B41" s="56"/>
      <c r="C41" s="51" t="s">
        <v>212</v>
      </c>
      <c r="D41" s="58">
        <v>10500</v>
      </c>
      <c r="E41" s="53"/>
      <c r="F41" s="60">
        <f t="shared" si="0"/>
        <v>3240254</v>
      </c>
    </row>
    <row r="42" spans="1:6" x14ac:dyDescent="0.25">
      <c r="A42" s="49" t="s">
        <v>207</v>
      </c>
      <c r="B42" s="56"/>
      <c r="C42" s="51" t="s">
        <v>213</v>
      </c>
      <c r="D42" s="58">
        <v>1750</v>
      </c>
      <c r="E42" s="53"/>
      <c r="F42" s="60">
        <f t="shared" si="0"/>
        <v>3242004</v>
      </c>
    </row>
    <row r="43" spans="1:6" x14ac:dyDescent="0.25">
      <c r="A43" s="49" t="s">
        <v>207</v>
      </c>
      <c r="B43" s="56"/>
      <c r="C43" s="51" t="s">
        <v>214</v>
      </c>
      <c r="D43" s="58">
        <v>4200</v>
      </c>
      <c r="E43" s="53"/>
      <c r="F43" s="66">
        <f t="shared" si="0"/>
        <v>3246204</v>
      </c>
    </row>
    <row r="44" spans="1:6" x14ac:dyDescent="0.25">
      <c r="A44" s="49" t="s">
        <v>211</v>
      </c>
      <c r="B44" s="56">
        <v>183</v>
      </c>
      <c r="C44" s="51" t="s">
        <v>215</v>
      </c>
      <c r="D44" s="58">
        <v>15000</v>
      </c>
      <c r="E44" s="53"/>
      <c r="F44" s="60">
        <f t="shared" si="0"/>
        <v>3261204</v>
      </c>
    </row>
    <row r="45" spans="1:6" x14ac:dyDescent="0.25">
      <c r="A45" s="49" t="s">
        <v>211</v>
      </c>
      <c r="B45" s="56">
        <v>183</v>
      </c>
      <c r="C45" s="51" t="s">
        <v>216</v>
      </c>
      <c r="D45" s="58">
        <v>15000</v>
      </c>
      <c r="E45" s="53"/>
      <c r="F45" s="60">
        <f t="shared" si="0"/>
        <v>3276204</v>
      </c>
    </row>
    <row r="46" spans="1:6" x14ac:dyDescent="0.25">
      <c r="A46" s="55"/>
      <c r="B46" s="56"/>
      <c r="C46" s="51"/>
      <c r="D46" s="58"/>
      <c r="E46" s="53"/>
      <c r="F46" s="60">
        <f>F45+D46-E46</f>
        <v>3276204</v>
      </c>
    </row>
  </sheetData>
  <phoneticPr fontId="6" type="noConversion"/>
  <pageMargins left="0.7" right="0.7" top="0.75" bottom="0.75" header="0.3" footer="0.3"/>
  <pageSetup scale="4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07C4-E0D7-44F5-92B3-586811764EB7}">
  <sheetPr>
    <pageSetUpPr fitToPage="1"/>
  </sheetPr>
  <dimension ref="A1:F37"/>
  <sheetViews>
    <sheetView topLeftCell="B17" workbookViewId="0">
      <selection activeCell="H36" sqref="H36"/>
    </sheetView>
  </sheetViews>
  <sheetFormatPr defaultRowHeight="15" x14ac:dyDescent="0.25"/>
  <cols>
    <col min="1" max="1" width="23.7109375" style="17" bestFit="1" customWidth="1"/>
    <col min="2" max="2" width="20.85546875" customWidth="1"/>
    <col min="3" max="3" width="44.42578125" customWidth="1"/>
    <col min="4" max="4" width="32.5703125" customWidth="1"/>
    <col min="5" max="5" width="38.28515625" customWidth="1"/>
    <col min="6" max="6" width="30.42578125" customWidth="1"/>
  </cols>
  <sheetData>
    <row r="1" spans="1:6" ht="20.25" thickTop="1" thickBot="1" x14ac:dyDescent="0.3">
      <c r="A1" s="145" t="s">
        <v>0</v>
      </c>
      <c r="B1" s="45" t="s">
        <v>5</v>
      </c>
      <c r="C1" s="140" t="s">
        <v>223</v>
      </c>
      <c r="D1" s="140" t="s">
        <v>2</v>
      </c>
      <c r="E1" s="140" t="s">
        <v>3</v>
      </c>
      <c r="F1" s="48" t="s">
        <v>4</v>
      </c>
    </row>
    <row r="2" spans="1:6" ht="16.5" thickTop="1" thickBot="1" x14ac:dyDescent="0.3">
      <c r="A2" s="142"/>
      <c r="B2" s="50"/>
      <c r="C2" s="144"/>
      <c r="D2" s="141"/>
      <c r="E2" s="141"/>
      <c r="F2" s="54">
        <v>3276204</v>
      </c>
    </row>
    <row r="3" spans="1:6" ht="15.75" thickBot="1" x14ac:dyDescent="0.3">
      <c r="A3" s="143">
        <v>44501</v>
      </c>
      <c r="B3" s="50">
        <v>184</v>
      </c>
      <c r="C3" s="144" t="s">
        <v>222</v>
      </c>
      <c r="D3" s="141">
        <v>63375</v>
      </c>
      <c r="E3" s="141"/>
      <c r="F3" s="54">
        <f>F2+D3-E3</f>
        <v>3339579</v>
      </c>
    </row>
    <row r="4" spans="1:6" ht="21" customHeight="1" thickBot="1" x14ac:dyDescent="0.3">
      <c r="A4" s="143">
        <v>44501</v>
      </c>
      <c r="B4" s="50">
        <v>185</v>
      </c>
      <c r="C4" s="144" t="s">
        <v>224</v>
      </c>
      <c r="D4" s="141">
        <v>51675</v>
      </c>
      <c r="E4" s="141"/>
      <c r="F4" s="60">
        <f>F3+D4-E4</f>
        <v>3391254</v>
      </c>
    </row>
    <row r="5" spans="1:6" ht="21" customHeight="1" thickBot="1" x14ac:dyDescent="0.3">
      <c r="A5" s="143"/>
      <c r="B5" s="50">
        <v>186</v>
      </c>
      <c r="C5" s="144" t="s">
        <v>261</v>
      </c>
      <c r="D5" s="141">
        <v>70700</v>
      </c>
      <c r="E5" s="141"/>
      <c r="F5" s="60">
        <f>F4+D5-E5</f>
        <v>3461954</v>
      </c>
    </row>
    <row r="6" spans="1:6" ht="18.75" customHeight="1" thickBot="1" x14ac:dyDescent="0.3">
      <c r="A6" s="143">
        <v>44502</v>
      </c>
      <c r="B6" s="50">
        <v>188</v>
      </c>
      <c r="C6" s="144" t="s">
        <v>225</v>
      </c>
      <c r="D6" s="141">
        <v>58500</v>
      </c>
      <c r="E6" s="141"/>
      <c r="F6" s="60">
        <f>F5+D6-E6</f>
        <v>3520454</v>
      </c>
    </row>
    <row r="7" spans="1:6" ht="18" customHeight="1" thickBot="1" x14ac:dyDescent="0.3">
      <c r="A7" s="143">
        <v>44502</v>
      </c>
      <c r="B7" s="50">
        <v>189</v>
      </c>
      <c r="C7" s="144" t="s">
        <v>226</v>
      </c>
      <c r="D7" s="141">
        <v>38720</v>
      </c>
      <c r="E7" s="141"/>
      <c r="F7" s="60">
        <f t="shared" ref="F7:F36" si="0">F6+D7-E7</f>
        <v>3559174</v>
      </c>
    </row>
    <row r="8" spans="1:6" ht="15.75" customHeight="1" thickBot="1" x14ac:dyDescent="0.3">
      <c r="A8" s="143">
        <v>44507</v>
      </c>
      <c r="B8" s="50">
        <v>190</v>
      </c>
      <c r="C8" s="144" t="s">
        <v>227</v>
      </c>
      <c r="D8" s="141">
        <v>65100</v>
      </c>
      <c r="E8" s="141"/>
      <c r="F8" s="60">
        <f>F7+D8-E8</f>
        <v>3624274</v>
      </c>
    </row>
    <row r="9" spans="1:6" ht="15.75" thickBot="1" x14ac:dyDescent="0.3">
      <c r="A9" s="143">
        <v>44507</v>
      </c>
      <c r="B9" s="50">
        <v>191</v>
      </c>
      <c r="C9" s="144" t="s">
        <v>228</v>
      </c>
      <c r="D9" s="141">
        <v>139200</v>
      </c>
      <c r="E9" s="141"/>
      <c r="F9" s="60">
        <f>F8+D9-E9</f>
        <v>3763474</v>
      </c>
    </row>
    <row r="10" spans="1:6" ht="21" customHeight="1" thickBot="1" x14ac:dyDescent="0.3">
      <c r="A10" s="143">
        <v>44507</v>
      </c>
      <c r="B10" s="50">
        <v>192</v>
      </c>
      <c r="C10" s="144" t="s">
        <v>229</v>
      </c>
      <c r="D10" s="141">
        <v>11000</v>
      </c>
      <c r="E10" s="141"/>
      <c r="F10" s="60">
        <f>F9+D10-E10</f>
        <v>3774474</v>
      </c>
    </row>
    <row r="11" spans="1:6" ht="24.75" customHeight="1" thickBot="1" x14ac:dyDescent="0.3">
      <c r="A11" s="143">
        <v>44507</v>
      </c>
      <c r="B11" s="50">
        <v>193</v>
      </c>
      <c r="C11" s="144" t="s">
        <v>230</v>
      </c>
      <c r="D11" s="141">
        <v>24960</v>
      </c>
      <c r="E11" s="141"/>
      <c r="F11" s="60">
        <f t="shared" si="0"/>
        <v>3799434</v>
      </c>
    </row>
    <row r="12" spans="1:6" ht="22.5" customHeight="1" thickBot="1" x14ac:dyDescent="0.3">
      <c r="A12" s="143">
        <v>44513</v>
      </c>
      <c r="B12" s="50">
        <v>195</v>
      </c>
      <c r="C12" s="144" t="s">
        <v>231</v>
      </c>
      <c r="D12" s="141">
        <v>65195</v>
      </c>
      <c r="E12" s="141"/>
      <c r="F12" s="60">
        <f t="shared" si="0"/>
        <v>3864629</v>
      </c>
    </row>
    <row r="13" spans="1:6" ht="17.25" customHeight="1" thickBot="1" x14ac:dyDescent="0.3">
      <c r="A13" s="143">
        <v>44513</v>
      </c>
      <c r="B13" s="50">
        <v>196</v>
      </c>
      <c r="C13" s="144" t="s">
        <v>232</v>
      </c>
      <c r="D13" s="141">
        <v>65487</v>
      </c>
      <c r="E13" s="141"/>
      <c r="F13" s="60">
        <f t="shared" si="0"/>
        <v>3930116</v>
      </c>
    </row>
    <row r="14" spans="1:6" ht="15.75" thickBot="1" x14ac:dyDescent="0.3">
      <c r="A14" s="143">
        <v>44513</v>
      </c>
      <c r="B14" s="50">
        <v>196</v>
      </c>
      <c r="C14" s="144" t="s">
        <v>233</v>
      </c>
      <c r="D14" s="141">
        <v>5000</v>
      </c>
      <c r="E14" s="141"/>
      <c r="F14" s="60">
        <f t="shared" si="0"/>
        <v>3935116</v>
      </c>
    </row>
    <row r="15" spans="1:6" ht="15.75" thickBot="1" x14ac:dyDescent="0.3">
      <c r="A15" s="143">
        <v>44513</v>
      </c>
      <c r="B15" s="50">
        <v>197</v>
      </c>
      <c r="C15" s="144" t="s">
        <v>234</v>
      </c>
      <c r="D15" s="141">
        <v>52500</v>
      </c>
      <c r="E15" s="141"/>
      <c r="F15" s="60">
        <f>F14+D15-E15</f>
        <v>3987616</v>
      </c>
    </row>
    <row r="16" spans="1:6" ht="15.75" thickBot="1" x14ac:dyDescent="0.3">
      <c r="A16" s="143">
        <v>44513</v>
      </c>
      <c r="B16" s="50">
        <v>197</v>
      </c>
      <c r="C16" s="144" t="s">
        <v>235</v>
      </c>
      <c r="D16" s="141">
        <v>10000</v>
      </c>
      <c r="E16" s="141"/>
      <c r="F16" s="60">
        <f t="shared" si="0"/>
        <v>3997616</v>
      </c>
    </row>
    <row r="17" spans="1:6" ht="15.75" thickBot="1" x14ac:dyDescent="0.3">
      <c r="A17" s="143">
        <v>44513</v>
      </c>
      <c r="B17" s="50">
        <v>198</v>
      </c>
      <c r="C17" s="144" t="s">
        <v>236</v>
      </c>
      <c r="D17" s="141">
        <v>12500</v>
      </c>
      <c r="E17" s="141"/>
      <c r="F17" s="60">
        <f t="shared" si="0"/>
        <v>4010116</v>
      </c>
    </row>
    <row r="18" spans="1:6" ht="15.75" thickBot="1" x14ac:dyDescent="0.3">
      <c r="A18" s="143">
        <v>44513</v>
      </c>
      <c r="B18" s="50">
        <v>199</v>
      </c>
      <c r="C18" s="144" t="s">
        <v>237</v>
      </c>
      <c r="D18" s="141">
        <v>64350</v>
      </c>
      <c r="E18" s="141"/>
      <c r="F18" s="66">
        <f t="shared" si="0"/>
        <v>4074466</v>
      </c>
    </row>
    <row r="19" spans="1:6" ht="15.75" thickBot="1" x14ac:dyDescent="0.3">
      <c r="A19" s="143">
        <v>44513</v>
      </c>
      <c r="B19" s="50">
        <v>200</v>
      </c>
      <c r="C19" s="144" t="s">
        <v>238</v>
      </c>
      <c r="D19" s="141">
        <v>30800</v>
      </c>
      <c r="E19" s="141"/>
      <c r="F19" s="66">
        <f t="shared" si="0"/>
        <v>4105266</v>
      </c>
    </row>
    <row r="20" spans="1:6" ht="15.75" thickBot="1" x14ac:dyDescent="0.3">
      <c r="A20" s="143">
        <v>44513</v>
      </c>
      <c r="B20" s="50">
        <v>200</v>
      </c>
      <c r="C20" s="144" t="s">
        <v>239</v>
      </c>
      <c r="D20" s="141">
        <v>5000</v>
      </c>
      <c r="E20" s="141"/>
      <c r="F20" s="66">
        <f t="shared" si="0"/>
        <v>4110266</v>
      </c>
    </row>
    <row r="21" spans="1:6" ht="15.75" thickBot="1" x14ac:dyDescent="0.3">
      <c r="A21" s="143">
        <v>44513</v>
      </c>
      <c r="B21" s="50">
        <v>251</v>
      </c>
      <c r="C21" s="144" t="s">
        <v>240</v>
      </c>
      <c r="D21" s="141">
        <v>24800</v>
      </c>
      <c r="E21" s="141"/>
      <c r="F21" s="66">
        <f t="shared" si="0"/>
        <v>4135066</v>
      </c>
    </row>
    <row r="22" spans="1:6" ht="15.75" thickBot="1" x14ac:dyDescent="0.3">
      <c r="A22" s="143">
        <v>44516</v>
      </c>
      <c r="B22" s="50">
        <v>252</v>
      </c>
      <c r="C22" s="144" t="s">
        <v>241</v>
      </c>
      <c r="D22" s="141">
        <v>8400</v>
      </c>
      <c r="E22" s="141"/>
      <c r="F22" s="60">
        <f>F21+D22-E22</f>
        <v>4143466</v>
      </c>
    </row>
    <row r="23" spans="1:6" ht="15.75" thickBot="1" x14ac:dyDescent="0.3">
      <c r="A23" s="143">
        <v>44516</v>
      </c>
      <c r="B23" s="50">
        <v>253</v>
      </c>
      <c r="C23" s="144" t="s">
        <v>242</v>
      </c>
      <c r="D23" s="141">
        <v>32825</v>
      </c>
      <c r="E23" s="141"/>
      <c r="F23" s="60">
        <f t="shared" ref="F23:F24" si="1">F22+D23-E23</f>
        <v>4176291</v>
      </c>
    </row>
    <row r="24" spans="1:6" ht="15.75" thickBot="1" x14ac:dyDescent="0.3">
      <c r="A24" s="143">
        <v>44516</v>
      </c>
      <c r="B24" s="50">
        <v>255</v>
      </c>
      <c r="C24" s="144" t="s">
        <v>243</v>
      </c>
      <c r="D24" s="141">
        <v>8800</v>
      </c>
      <c r="E24" s="141"/>
      <c r="F24" s="60">
        <f t="shared" si="1"/>
        <v>4185091</v>
      </c>
    </row>
    <row r="25" spans="1:6" ht="15.75" thickBot="1" x14ac:dyDescent="0.3">
      <c r="A25" s="143">
        <v>44516</v>
      </c>
      <c r="B25" s="50">
        <v>256</v>
      </c>
      <c r="C25" s="144" t="s">
        <v>244</v>
      </c>
      <c r="D25" s="141">
        <v>34650</v>
      </c>
      <c r="E25" s="141"/>
      <c r="F25" s="66">
        <f>F24+D25-E25</f>
        <v>4219741</v>
      </c>
    </row>
    <row r="26" spans="1:6" ht="15.75" thickBot="1" x14ac:dyDescent="0.3">
      <c r="A26" s="143">
        <v>44518</v>
      </c>
      <c r="B26" s="50">
        <v>258</v>
      </c>
      <c r="C26" s="144" t="s">
        <v>245</v>
      </c>
      <c r="D26" s="141">
        <v>69650</v>
      </c>
      <c r="E26" s="141"/>
      <c r="F26" s="60">
        <f t="shared" si="0"/>
        <v>4289391</v>
      </c>
    </row>
    <row r="27" spans="1:6" ht="15.75" thickBot="1" x14ac:dyDescent="0.3">
      <c r="A27" s="143">
        <v>44518</v>
      </c>
      <c r="B27" s="50">
        <v>259</v>
      </c>
      <c r="C27" s="144" t="s">
        <v>246</v>
      </c>
      <c r="D27" s="141">
        <v>111180</v>
      </c>
      <c r="E27" s="141"/>
      <c r="F27" s="60">
        <f t="shared" si="0"/>
        <v>4400571</v>
      </c>
    </row>
    <row r="28" spans="1:6" ht="15.75" thickBot="1" x14ac:dyDescent="0.3">
      <c r="A28" s="143">
        <v>44520</v>
      </c>
      <c r="B28" s="50">
        <v>260</v>
      </c>
      <c r="C28" s="144" t="s">
        <v>247</v>
      </c>
      <c r="D28" s="141">
        <v>3575</v>
      </c>
      <c r="E28" s="141"/>
      <c r="F28" s="66">
        <f t="shared" si="0"/>
        <v>4404146</v>
      </c>
    </row>
    <row r="29" spans="1:6" ht="15.75" thickBot="1" x14ac:dyDescent="0.3">
      <c r="A29" s="143">
        <v>44520</v>
      </c>
      <c r="B29" s="50">
        <v>262</v>
      </c>
      <c r="C29" s="144" t="s">
        <v>248</v>
      </c>
      <c r="D29" s="141">
        <v>30210</v>
      </c>
      <c r="E29" s="141"/>
      <c r="F29" s="60">
        <f t="shared" si="0"/>
        <v>4434356</v>
      </c>
    </row>
    <row r="30" spans="1:6" ht="15.75" thickBot="1" x14ac:dyDescent="0.3">
      <c r="A30" s="143">
        <v>44520</v>
      </c>
      <c r="B30" s="50">
        <v>263</v>
      </c>
      <c r="C30" s="144" t="s">
        <v>249</v>
      </c>
      <c r="D30" s="141">
        <v>30067</v>
      </c>
      <c r="E30" s="141"/>
      <c r="F30" s="60">
        <f t="shared" si="0"/>
        <v>4464423</v>
      </c>
    </row>
    <row r="31" spans="1:6" ht="15.75" thickBot="1" x14ac:dyDescent="0.3">
      <c r="A31" s="143">
        <v>44521</v>
      </c>
      <c r="B31" s="50">
        <v>264</v>
      </c>
      <c r="C31" s="144" t="s">
        <v>250</v>
      </c>
      <c r="D31" s="141">
        <v>35350</v>
      </c>
      <c r="E31" s="141"/>
      <c r="F31" s="60">
        <f t="shared" si="0"/>
        <v>4499773</v>
      </c>
    </row>
    <row r="32" spans="1:6" ht="15.75" thickBot="1" x14ac:dyDescent="0.3">
      <c r="A32" s="143">
        <v>44526</v>
      </c>
      <c r="B32" s="50">
        <v>265</v>
      </c>
      <c r="C32" s="144" t="s">
        <v>251</v>
      </c>
      <c r="D32" s="141">
        <v>46712</v>
      </c>
      <c r="E32" s="141"/>
      <c r="F32" s="60">
        <f t="shared" si="0"/>
        <v>4546485</v>
      </c>
    </row>
    <row r="33" spans="1:6" ht="15.75" thickBot="1" x14ac:dyDescent="0.3">
      <c r="A33" s="143">
        <v>44526</v>
      </c>
      <c r="B33" s="50">
        <v>266</v>
      </c>
      <c r="C33" s="144" t="s">
        <v>252</v>
      </c>
      <c r="D33" s="141">
        <v>46250</v>
      </c>
      <c r="E33" s="141"/>
      <c r="F33" s="60">
        <f t="shared" si="0"/>
        <v>4592735</v>
      </c>
    </row>
    <row r="34" spans="1:6" ht="15.75" thickBot="1" x14ac:dyDescent="0.3">
      <c r="A34" s="143">
        <v>44529</v>
      </c>
      <c r="B34" s="50">
        <v>268</v>
      </c>
      <c r="C34" s="144" t="s">
        <v>262</v>
      </c>
      <c r="D34" s="141">
        <v>5000</v>
      </c>
      <c r="E34" s="141"/>
      <c r="F34" s="60">
        <f t="shared" si="0"/>
        <v>4597735</v>
      </c>
    </row>
    <row r="35" spans="1:6" ht="15.75" thickBot="1" x14ac:dyDescent="0.3">
      <c r="A35" s="143">
        <v>44529</v>
      </c>
      <c r="B35" s="50">
        <v>269</v>
      </c>
      <c r="C35" s="144" t="s">
        <v>253</v>
      </c>
      <c r="D35" s="141">
        <v>46612</v>
      </c>
      <c r="E35" s="141"/>
      <c r="F35" s="66">
        <f>F34+D35-E35</f>
        <v>4644347</v>
      </c>
    </row>
    <row r="36" spans="1:6" ht="15.75" thickBot="1" x14ac:dyDescent="0.3">
      <c r="A36" s="143">
        <v>44529</v>
      </c>
      <c r="B36" s="50">
        <v>269</v>
      </c>
      <c r="C36" s="144" t="s">
        <v>254</v>
      </c>
      <c r="D36" s="141">
        <v>44785</v>
      </c>
      <c r="E36" s="141"/>
      <c r="F36" s="60">
        <f t="shared" si="0"/>
        <v>4689132</v>
      </c>
    </row>
    <row r="37" spans="1:6" ht="15.75" thickBot="1" x14ac:dyDescent="0.3">
      <c r="A37" s="143">
        <v>44529</v>
      </c>
      <c r="B37" s="50"/>
      <c r="C37" s="144"/>
      <c r="D37" s="141"/>
      <c r="E37" s="141"/>
      <c r="F37" s="60">
        <f>F36+D37-E37</f>
        <v>4689132</v>
      </c>
    </row>
  </sheetData>
  <phoneticPr fontId="6" type="noConversion"/>
  <pageMargins left="0.7" right="0.7" top="0.75" bottom="0.75" header="0.3" footer="0.3"/>
  <pageSetup scale="6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B359-2DC4-4FB6-890B-A9EEB79ED121}">
  <dimension ref="A1:F75"/>
  <sheetViews>
    <sheetView tabSelected="1" workbookViewId="0">
      <selection activeCell="D7" sqref="D7"/>
    </sheetView>
  </sheetViews>
  <sheetFormatPr defaultRowHeight="15" x14ac:dyDescent="0.25"/>
  <cols>
    <col min="1" max="1" width="23.7109375" style="17" bestFit="1" customWidth="1"/>
    <col min="2" max="2" width="20.85546875" style="156" customWidth="1"/>
    <col min="3" max="3" width="44.42578125" customWidth="1"/>
    <col min="4" max="4" width="32.5703125" customWidth="1"/>
    <col min="5" max="5" width="38.28515625" customWidth="1"/>
    <col min="6" max="6" width="30.42578125" customWidth="1"/>
  </cols>
  <sheetData>
    <row r="1" spans="1:6" ht="20.25" thickTop="1" thickBot="1" x14ac:dyDescent="0.3">
      <c r="A1" s="145" t="s">
        <v>0</v>
      </c>
      <c r="B1" s="154" t="s">
        <v>5</v>
      </c>
      <c r="C1" s="140" t="s">
        <v>223</v>
      </c>
      <c r="D1" s="140" t="s">
        <v>2</v>
      </c>
      <c r="E1" s="140" t="s">
        <v>3</v>
      </c>
      <c r="F1" s="48" t="s">
        <v>4</v>
      </c>
    </row>
    <row r="2" spans="1:6" ht="16.5" thickTop="1" thickBot="1" x14ac:dyDescent="0.3">
      <c r="A2" s="142"/>
      <c r="B2" s="155"/>
      <c r="C2" s="144"/>
      <c r="D2" s="141"/>
      <c r="E2" s="141"/>
      <c r="F2" s="54">
        <v>4689132</v>
      </c>
    </row>
    <row r="3" spans="1:6" ht="15.75" thickBot="1" x14ac:dyDescent="0.3">
      <c r="A3" s="142">
        <v>44536</v>
      </c>
      <c r="B3" s="155">
        <v>272</v>
      </c>
      <c r="C3" s="144" t="s">
        <v>264</v>
      </c>
      <c r="D3" s="141">
        <v>36000</v>
      </c>
      <c r="E3" s="141"/>
      <c r="F3" s="54">
        <v>4689132</v>
      </c>
    </row>
    <row r="4" spans="1:6" ht="21" customHeight="1" thickBot="1" x14ac:dyDescent="0.3">
      <c r="A4" s="142">
        <v>44536</v>
      </c>
      <c r="B4" s="155">
        <v>272</v>
      </c>
      <c r="C4" s="144" t="s">
        <v>265</v>
      </c>
      <c r="D4" s="141">
        <v>33000</v>
      </c>
      <c r="E4" s="141"/>
      <c r="F4" s="54">
        <v>4689132</v>
      </c>
    </row>
    <row r="5" spans="1:6" ht="18" customHeight="1" thickBot="1" x14ac:dyDescent="0.3">
      <c r="A5" s="142">
        <v>44539</v>
      </c>
      <c r="B5" s="155">
        <v>287</v>
      </c>
      <c r="C5" s="144" t="s">
        <v>282</v>
      </c>
      <c r="D5" s="141">
        <v>10500</v>
      </c>
      <c r="E5" s="141"/>
      <c r="F5" s="54">
        <v>4689132</v>
      </c>
    </row>
    <row r="6" spans="1:6" ht="21" customHeight="1" thickBot="1" x14ac:dyDescent="0.3">
      <c r="A6" s="142">
        <v>44540</v>
      </c>
      <c r="B6" s="155">
        <v>274</v>
      </c>
      <c r="C6" s="144" t="s">
        <v>292</v>
      </c>
      <c r="D6" s="141">
        <v>48675</v>
      </c>
      <c r="E6" s="141"/>
      <c r="F6" s="54">
        <v>4689132</v>
      </c>
    </row>
    <row r="7" spans="1:6" ht="18.75" customHeight="1" thickBot="1" x14ac:dyDescent="0.3">
      <c r="A7" s="142">
        <v>44540</v>
      </c>
      <c r="B7" s="155"/>
      <c r="C7" s="144" t="s">
        <v>263</v>
      </c>
      <c r="D7" s="141"/>
      <c r="E7" s="141"/>
      <c r="F7" s="54">
        <v>4689132</v>
      </c>
    </row>
    <row r="8" spans="1:6" ht="18.75" customHeight="1" thickBot="1" x14ac:dyDescent="0.3">
      <c r="A8" s="142">
        <v>44544</v>
      </c>
      <c r="B8" s="155">
        <v>279</v>
      </c>
      <c r="C8" s="144" t="s">
        <v>266</v>
      </c>
      <c r="D8" s="141">
        <v>70325</v>
      </c>
      <c r="E8" s="141"/>
      <c r="F8" s="54">
        <v>4689132</v>
      </c>
    </row>
    <row r="9" spans="1:6" ht="18.75" customHeight="1" thickBot="1" x14ac:dyDescent="0.3">
      <c r="A9" s="142">
        <v>44544</v>
      </c>
      <c r="B9" s="155">
        <v>279</v>
      </c>
      <c r="C9" s="144" t="s">
        <v>267</v>
      </c>
      <c r="D9" s="141">
        <v>13000</v>
      </c>
      <c r="E9" s="141"/>
      <c r="F9" s="54">
        <v>4689132</v>
      </c>
    </row>
    <row r="10" spans="1:6" ht="18.75" customHeight="1" thickBot="1" x14ac:dyDescent="0.3">
      <c r="A10" s="142">
        <v>44547</v>
      </c>
      <c r="B10" s="155">
        <v>281</v>
      </c>
      <c r="C10" s="144" t="s">
        <v>289</v>
      </c>
      <c r="D10" s="141">
        <v>49000</v>
      </c>
      <c r="E10" s="141"/>
      <c r="F10" s="54">
        <v>4689132</v>
      </c>
    </row>
    <row r="11" spans="1:6" ht="15.75" customHeight="1" thickBot="1" x14ac:dyDescent="0.3">
      <c r="A11" s="142">
        <v>44552</v>
      </c>
      <c r="B11" s="157">
        <v>284285</v>
      </c>
      <c r="C11" s="144" t="s">
        <v>287</v>
      </c>
      <c r="D11" s="141">
        <v>103950</v>
      </c>
      <c r="E11" s="141"/>
      <c r="F11" s="54">
        <v>4689132</v>
      </c>
    </row>
    <row r="12" spans="1:6" ht="15.75" thickBot="1" x14ac:dyDescent="0.3">
      <c r="A12" s="142">
        <v>44552</v>
      </c>
      <c r="B12" s="157">
        <v>284285</v>
      </c>
      <c r="C12" s="144" t="s">
        <v>288</v>
      </c>
      <c r="D12" s="141">
        <v>9000</v>
      </c>
      <c r="E12" s="141"/>
      <c r="F12" s="54">
        <v>4689132</v>
      </c>
    </row>
    <row r="13" spans="1:6" ht="21" customHeight="1" thickBot="1" x14ac:dyDescent="0.3">
      <c r="A13" s="142">
        <v>44552</v>
      </c>
      <c r="B13" s="157">
        <v>284285</v>
      </c>
      <c r="C13" s="144" t="s">
        <v>286</v>
      </c>
      <c r="D13" s="141">
        <v>84787</v>
      </c>
      <c r="E13" s="141"/>
      <c r="F13" s="54">
        <v>4689132</v>
      </c>
    </row>
    <row r="14" spans="1:6" ht="24.75" customHeight="1" thickBot="1" x14ac:dyDescent="0.3">
      <c r="A14" s="142">
        <v>44552</v>
      </c>
      <c r="B14" s="155">
        <v>286</v>
      </c>
      <c r="C14" s="144" t="s">
        <v>290</v>
      </c>
      <c r="D14" s="141">
        <v>6500</v>
      </c>
      <c r="E14" s="141"/>
      <c r="F14" s="60">
        <f t="shared" ref="F14:F73" si="0">F13+D14-E14</f>
        <v>4695632</v>
      </c>
    </row>
    <row r="15" spans="1:6" ht="22.5" customHeight="1" thickBot="1" x14ac:dyDescent="0.3">
      <c r="A15" s="142">
        <v>44552</v>
      </c>
      <c r="B15" s="155">
        <v>286</v>
      </c>
      <c r="C15" s="144" t="s">
        <v>291</v>
      </c>
      <c r="D15" s="141">
        <v>63050</v>
      </c>
      <c r="E15" s="141"/>
      <c r="F15" s="60">
        <f t="shared" si="0"/>
        <v>4758682</v>
      </c>
    </row>
    <row r="16" spans="1:6" ht="17.25" customHeight="1" thickBot="1" x14ac:dyDescent="0.3">
      <c r="A16" s="142">
        <v>44552</v>
      </c>
      <c r="B16" s="155">
        <v>288</v>
      </c>
      <c r="C16" s="144" t="s">
        <v>283</v>
      </c>
      <c r="D16" s="141">
        <v>1600</v>
      </c>
      <c r="E16" s="141"/>
      <c r="F16" s="60">
        <f t="shared" si="0"/>
        <v>4760282</v>
      </c>
    </row>
    <row r="17" spans="1:6" ht="15.75" thickBot="1" x14ac:dyDescent="0.3">
      <c r="A17" s="142">
        <v>44554</v>
      </c>
      <c r="B17" s="155">
        <v>289</v>
      </c>
      <c r="C17" s="144" t="s">
        <v>285</v>
      </c>
      <c r="D17" s="141">
        <v>71412</v>
      </c>
      <c r="E17" s="141"/>
      <c r="F17" s="60">
        <f t="shared" si="0"/>
        <v>4831694</v>
      </c>
    </row>
    <row r="18" spans="1:6" ht="15.75" thickBot="1" x14ac:dyDescent="0.3">
      <c r="A18" s="142">
        <v>44554</v>
      </c>
      <c r="B18" s="155"/>
      <c r="C18" s="144" t="s">
        <v>268</v>
      </c>
      <c r="D18" s="141"/>
      <c r="E18" s="141"/>
      <c r="F18" s="60">
        <f>F17+D18-E18</f>
        <v>4831694</v>
      </c>
    </row>
    <row r="19" spans="1:6" ht="15.75" thickBot="1" x14ac:dyDescent="0.3">
      <c r="A19" s="142">
        <v>44554</v>
      </c>
      <c r="B19" s="155">
        <v>290</v>
      </c>
      <c r="C19" s="144" t="s">
        <v>269</v>
      </c>
      <c r="D19" s="141">
        <v>143550</v>
      </c>
      <c r="E19" s="141"/>
      <c r="F19" s="60">
        <f t="shared" si="0"/>
        <v>4975244</v>
      </c>
    </row>
    <row r="20" spans="1:6" ht="15.75" thickBot="1" x14ac:dyDescent="0.3">
      <c r="A20" s="142">
        <v>44554</v>
      </c>
      <c r="B20" s="155">
        <v>291</v>
      </c>
      <c r="C20" s="144" t="s">
        <v>284</v>
      </c>
      <c r="D20" s="141">
        <v>9000</v>
      </c>
      <c r="E20" s="141"/>
      <c r="F20" s="60">
        <f t="shared" si="0"/>
        <v>4984244</v>
      </c>
    </row>
    <row r="21" spans="1:6" ht="15.75" thickBot="1" x14ac:dyDescent="0.3">
      <c r="A21" s="142">
        <v>44557</v>
      </c>
      <c r="B21" s="155">
        <v>292</v>
      </c>
      <c r="C21" s="144" t="s">
        <v>279</v>
      </c>
      <c r="D21" s="141">
        <v>144275</v>
      </c>
      <c r="E21" s="141"/>
      <c r="F21" s="66">
        <f t="shared" si="0"/>
        <v>5128519</v>
      </c>
    </row>
    <row r="22" spans="1:6" ht="15.75" thickBot="1" x14ac:dyDescent="0.3">
      <c r="A22" s="142">
        <v>44557</v>
      </c>
      <c r="B22" s="155">
        <v>292</v>
      </c>
      <c r="C22" s="144" t="s">
        <v>280</v>
      </c>
      <c r="D22" s="141">
        <v>13000</v>
      </c>
      <c r="E22" s="141"/>
      <c r="F22" s="66">
        <f t="shared" si="0"/>
        <v>5141519</v>
      </c>
    </row>
    <row r="23" spans="1:6" ht="15.75" thickBot="1" x14ac:dyDescent="0.3">
      <c r="A23" s="142">
        <v>44557</v>
      </c>
      <c r="B23" s="155">
        <v>293</v>
      </c>
      <c r="C23" s="144" t="s">
        <v>281</v>
      </c>
      <c r="D23" s="141">
        <v>59620</v>
      </c>
      <c r="E23" s="141"/>
      <c r="F23" s="66">
        <f t="shared" si="0"/>
        <v>5201139</v>
      </c>
    </row>
    <row r="24" spans="1:6" ht="15.75" thickBot="1" x14ac:dyDescent="0.3">
      <c r="A24" s="142">
        <v>44559</v>
      </c>
      <c r="B24" s="155">
        <v>299</v>
      </c>
      <c r="C24" s="144" t="s">
        <v>270</v>
      </c>
      <c r="D24" s="141">
        <v>33000</v>
      </c>
      <c r="E24" s="141"/>
      <c r="F24" s="66">
        <f t="shared" si="0"/>
        <v>5234139</v>
      </c>
    </row>
    <row r="25" spans="1:6" ht="15.75" thickBot="1" x14ac:dyDescent="0.3">
      <c r="A25" s="142">
        <v>44559</v>
      </c>
      <c r="B25" s="155">
        <v>299</v>
      </c>
      <c r="C25" s="144" t="s">
        <v>271</v>
      </c>
      <c r="D25" s="141">
        <v>4800</v>
      </c>
      <c r="E25" s="141"/>
      <c r="F25" s="60">
        <f>F24+D25-E25</f>
        <v>5238939</v>
      </c>
    </row>
    <row r="26" spans="1:6" ht="15.75" thickBot="1" x14ac:dyDescent="0.3">
      <c r="A26" s="142">
        <v>44559</v>
      </c>
      <c r="B26" s="155">
        <v>299</v>
      </c>
      <c r="C26" s="144" t="s">
        <v>272</v>
      </c>
      <c r="D26" s="141">
        <v>11750</v>
      </c>
      <c r="E26" s="141"/>
      <c r="F26" s="60">
        <f t="shared" ref="F26:F27" si="1">F25+D26-E26</f>
        <v>5250689</v>
      </c>
    </row>
    <row r="27" spans="1:6" ht="15.75" thickBot="1" x14ac:dyDescent="0.3">
      <c r="A27" s="142">
        <v>44559</v>
      </c>
      <c r="B27" s="155"/>
      <c r="C27" s="144" t="s">
        <v>273</v>
      </c>
      <c r="D27" s="141">
        <v>33150</v>
      </c>
      <c r="E27" s="141"/>
      <c r="F27" s="60">
        <f t="shared" si="1"/>
        <v>5283839</v>
      </c>
    </row>
    <row r="28" spans="1:6" ht="15.75" thickBot="1" x14ac:dyDescent="0.3">
      <c r="A28" s="142">
        <v>44559</v>
      </c>
      <c r="B28" s="155"/>
      <c r="C28" s="144" t="s">
        <v>274</v>
      </c>
      <c r="D28" s="141">
        <v>3250</v>
      </c>
      <c r="E28" s="141"/>
      <c r="F28" s="66">
        <f>F27+D28-E28</f>
        <v>5287089</v>
      </c>
    </row>
    <row r="29" spans="1:6" ht="15.75" thickBot="1" x14ac:dyDescent="0.3">
      <c r="A29" s="142">
        <v>44559</v>
      </c>
      <c r="B29" s="155">
        <v>296</v>
      </c>
      <c r="C29" s="144" t="s">
        <v>275</v>
      </c>
      <c r="D29" s="141">
        <v>9500</v>
      </c>
      <c r="E29" s="141"/>
      <c r="F29" s="60">
        <f t="shared" si="0"/>
        <v>5296589</v>
      </c>
    </row>
    <row r="30" spans="1:6" ht="15.75" thickBot="1" x14ac:dyDescent="0.3">
      <c r="A30" s="142">
        <v>44559</v>
      </c>
      <c r="B30" s="155">
        <v>295</v>
      </c>
      <c r="C30" s="144" t="s">
        <v>276</v>
      </c>
      <c r="D30" s="141">
        <v>36612</v>
      </c>
      <c r="E30" s="141"/>
      <c r="F30" s="60">
        <f t="shared" si="0"/>
        <v>5333201</v>
      </c>
    </row>
    <row r="31" spans="1:6" ht="15.75" thickBot="1" x14ac:dyDescent="0.3">
      <c r="A31" s="142">
        <v>44559</v>
      </c>
      <c r="B31" s="155">
        <v>295</v>
      </c>
      <c r="C31" s="144" t="s">
        <v>277</v>
      </c>
      <c r="D31" s="141">
        <v>3250</v>
      </c>
      <c r="E31" s="141"/>
      <c r="F31" s="66">
        <f t="shared" si="0"/>
        <v>5336451</v>
      </c>
    </row>
    <row r="32" spans="1:6" ht="15.75" thickBot="1" x14ac:dyDescent="0.3">
      <c r="A32" s="142">
        <v>44559</v>
      </c>
      <c r="B32" s="155">
        <v>297</v>
      </c>
      <c r="C32" s="144" t="s">
        <v>278</v>
      </c>
      <c r="D32" s="141">
        <v>131580</v>
      </c>
      <c r="E32" s="141"/>
      <c r="F32" s="60">
        <f t="shared" si="0"/>
        <v>5468031</v>
      </c>
    </row>
    <row r="33" spans="1:6" ht="15.75" thickBot="1" x14ac:dyDescent="0.3">
      <c r="A33" s="142">
        <v>44559</v>
      </c>
      <c r="B33" s="155"/>
      <c r="C33" s="144"/>
      <c r="D33" s="141"/>
      <c r="E33" s="141"/>
      <c r="F33" s="60">
        <f t="shared" si="0"/>
        <v>5468031</v>
      </c>
    </row>
    <row r="34" spans="1:6" ht="15.75" thickBot="1" x14ac:dyDescent="0.3">
      <c r="A34" s="142">
        <v>44552</v>
      </c>
      <c r="B34" s="155"/>
      <c r="C34" s="144"/>
      <c r="D34" s="141"/>
      <c r="E34" s="141"/>
      <c r="F34" s="60">
        <f t="shared" si="0"/>
        <v>5468031</v>
      </c>
    </row>
    <row r="35" spans="1:6" ht="15.75" thickBot="1" x14ac:dyDescent="0.3">
      <c r="A35" s="142">
        <v>44552</v>
      </c>
      <c r="B35" s="155"/>
      <c r="C35" s="144"/>
      <c r="D35" s="141"/>
      <c r="E35" s="141"/>
      <c r="F35" s="60">
        <f t="shared" si="0"/>
        <v>5468031</v>
      </c>
    </row>
    <row r="36" spans="1:6" ht="15.75" thickBot="1" x14ac:dyDescent="0.3">
      <c r="A36" s="142">
        <v>44552</v>
      </c>
      <c r="B36" s="155"/>
      <c r="C36" s="144"/>
      <c r="D36" s="141"/>
      <c r="E36" s="141"/>
      <c r="F36" s="60">
        <f t="shared" si="0"/>
        <v>5468031</v>
      </c>
    </row>
    <row r="37" spans="1:6" ht="15.75" thickBot="1" x14ac:dyDescent="0.3">
      <c r="A37" s="142">
        <v>44552</v>
      </c>
      <c r="B37" s="155"/>
      <c r="C37" s="144"/>
      <c r="D37" s="141"/>
      <c r="E37" s="141"/>
      <c r="F37" s="60">
        <f t="shared" si="0"/>
        <v>5468031</v>
      </c>
    </row>
    <row r="38" spans="1:6" ht="15.75" thickBot="1" x14ac:dyDescent="0.3">
      <c r="A38" s="142">
        <v>44552</v>
      </c>
      <c r="B38" s="155"/>
      <c r="C38" s="144"/>
      <c r="D38" s="141"/>
      <c r="E38" s="141"/>
      <c r="F38" s="66">
        <f>F37+D38-E38</f>
        <v>5468031</v>
      </c>
    </row>
    <row r="39" spans="1:6" ht="15.75" thickBot="1" x14ac:dyDescent="0.3">
      <c r="A39" s="142">
        <v>44552</v>
      </c>
      <c r="B39" s="155"/>
      <c r="C39" s="144"/>
      <c r="D39" s="141"/>
      <c r="E39" s="141"/>
      <c r="F39" s="60">
        <f t="shared" si="0"/>
        <v>5468031</v>
      </c>
    </row>
    <row r="40" spans="1:6" ht="15.75" thickBot="1" x14ac:dyDescent="0.3">
      <c r="A40" s="142">
        <v>44552</v>
      </c>
      <c r="B40" s="155"/>
      <c r="C40" s="144"/>
      <c r="D40" s="141"/>
      <c r="E40" s="141"/>
      <c r="F40" s="60">
        <f t="shared" si="0"/>
        <v>5468031</v>
      </c>
    </row>
    <row r="41" spans="1:6" ht="15.75" thickBot="1" x14ac:dyDescent="0.3">
      <c r="A41" s="142">
        <v>44552</v>
      </c>
      <c r="B41" s="155"/>
      <c r="C41" s="144"/>
      <c r="D41" s="141"/>
      <c r="E41" s="141"/>
      <c r="F41" s="60">
        <f t="shared" si="0"/>
        <v>5468031</v>
      </c>
    </row>
    <row r="42" spans="1:6" ht="15.75" thickBot="1" x14ac:dyDescent="0.3">
      <c r="A42" s="142">
        <v>44552</v>
      </c>
      <c r="B42" s="155"/>
      <c r="C42" s="144"/>
      <c r="D42" s="141"/>
      <c r="E42" s="141"/>
      <c r="F42" s="60">
        <f t="shared" si="0"/>
        <v>5468031</v>
      </c>
    </row>
    <row r="43" spans="1:6" ht="15.75" thickBot="1" x14ac:dyDescent="0.3">
      <c r="A43" s="142">
        <v>44554</v>
      </c>
      <c r="B43" s="155"/>
      <c r="C43" s="144"/>
      <c r="D43" s="141"/>
      <c r="E43" s="141"/>
      <c r="F43" s="60">
        <f t="shared" si="0"/>
        <v>5468031</v>
      </c>
    </row>
    <row r="44" spans="1:6" ht="15.75" thickBot="1" x14ac:dyDescent="0.3">
      <c r="A44" s="142">
        <v>44554</v>
      </c>
      <c r="B44" s="155"/>
      <c r="C44" s="144"/>
      <c r="D44" s="141"/>
      <c r="E44" s="141"/>
      <c r="F44" s="60">
        <f t="shared" si="0"/>
        <v>5468031</v>
      </c>
    </row>
    <row r="45" spans="1:6" ht="15.75" thickBot="1" x14ac:dyDescent="0.3">
      <c r="A45" s="142">
        <v>44554</v>
      </c>
      <c r="B45" s="155"/>
      <c r="C45" s="144"/>
      <c r="D45" s="141"/>
      <c r="E45" s="141"/>
      <c r="F45" s="60">
        <f t="shared" si="0"/>
        <v>5468031</v>
      </c>
    </row>
    <row r="46" spans="1:6" ht="15.75" thickBot="1" x14ac:dyDescent="0.3">
      <c r="A46" s="142">
        <v>44554</v>
      </c>
      <c r="B46" s="155"/>
      <c r="C46" s="144"/>
      <c r="D46" s="141"/>
      <c r="E46" s="141"/>
      <c r="F46" s="60">
        <f t="shared" si="0"/>
        <v>5468031</v>
      </c>
    </row>
    <row r="47" spans="1:6" ht="15.75" thickBot="1" x14ac:dyDescent="0.3">
      <c r="A47" s="142">
        <v>44554</v>
      </c>
      <c r="B47" s="155"/>
      <c r="C47" s="144"/>
      <c r="D47" s="141"/>
      <c r="E47" s="141"/>
      <c r="F47" s="60">
        <f t="shared" si="0"/>
        <v>5468031</v>
      </c>
    </row>
    <row r="48" spans="1:6" ht="15.75" thickBot="1" x14ac:dyDescent="0.3">
      <c r="A48" s="142">
        <v>44554</v>
      </c>
      <c r="B48" s="155"/>
      <c r="C48" s="144"/>
      <c r="D48" s="141"/>
      <c r="E48" s="141"/>
      <c r="F48" s="60">
        <f t="shared" si="0"/>
        <v>5468031</v>
      </c>
    </row>
    <row r="49" spans="1:6" ht="15.75" thickBot="1" x14ac:dyDescent="0.3">
      <c r="A49" s="142">
        <v>44554</v>
      </c>
      <c r="B49" s="155"/>
      <c r="C49" s="144"/>
      <c r="D49" s="141"/>
      <c r="E49" s="141"/>
      <c r="F49" s="60">
        <f t="shared" si="0"/>
        <v>5468031</v>
      </c>
    </row>
    <row r="50" spans="1:6" ht="15.75" thickBot="1" x14ac:dyDescent="0.3">
      <c r="A50" s="142">
        <v>44554</v>
      </c>
      <c r="B50" s="155"/>
      <c r="C50" s="144"/>
      <c r="D50" s="141"/>
      <c r="E50" s="141"/>
      <c r="F50" s="60">
        <f t="shared" si="0"/>
        <v>5468031</v>
      </c>
    </row>
    <row r="51" spans="1:6" ht="15.75" thickBot="1" x14ac:dyDescent="0.3">
      <c r="A51" s="142">
        <v>44554</v>
      </c>
      <c r="B51" s="155"/>
      <c r="C51" s="144"/>
      <c r="D51" s="141"/>
      <c r="E51" s="141"/>
      <c r="F51" s="60">
        <f t="shared" si="0"/>
        <v>5468031</v>
      </c>
    </row>
    <row r="52" spans="1:6" ht="15.75" thickBot="1" x14ac:dyDescent="0.3">
      <c r="A52" s="142">
        <v>44554</v>
      </c>
      <c r="B52" s="155"/>
      <c r="C52" s="144"/>
      <c r="D52" s="141"/>
      <c r="E52" s="141"/>
      <c r="F52" s="60">
        <f t="shared" si="0"/>
        <v>5468031</v>
      </c>
    </row>
    <row r="53" spans="1:6" ht="15.75" thickBot="1" x14ac:dyDescent="0.3">
      <c r="A53" s="142">
        <v>44554</v>
      </c>
      <c r="B53" s="155"/>
      <c r="C53" s="144"/>
      <c r="D53" s="141"/>
      <c r="E53" s="141"/>
      <c r="F53" s="60">
        <f t="shared" si="0"/>
        <v>5468031</v>
      </c>
    </row>
    <row r="54" spans="1:6" ht="15.75" thickBot="1" x14ac:dyDescent="0.3">
      <c r="A54" s="142">
        <v>44554</v>
      </c>
      <c r="B54" s="155"/>
      <c r="C54" s="144"/>
      <c r="D54" s="141"/>
      <c r="E54" s="141"/>
      <c r="F54" s="60">
        <f t="shared" si="0"/>
        <v>5468031</v>
      </c>
    </row>
    <row r="55" spans="1:6" ht="15.75" thickBot="1" x14ac:dyDescent="0.3">
      <c r="A55" s="142">
        <v>44554</v>
      </c>
      <c r="B55" s="155"/>
      <c r="C55" s="144"/>
      <c r="D55" s="141"/>
      <c r="E55" s="141"/>
      <c r="F55" s="60">
        <f t="shared" si="0"/>
        <v>5468031</v>
      </c>
    </row>
    <row r="56" spans="1:6" ht="15.75" thickBot="1" x14ac:dyDescent="0.3">
      <c r="A56" s="142">
        <v>44554</v>
      </c>
      <c r="B56" s="155"/>
      <c r="C56" s="144"/>
      <c r="D56" s="141"/>
      <c r="E56" s="141"/>
      <c r="F56" s="60">
        <f t="shared" si="0"/>
        <v>5468031</v>
      </c>
    </row>
    <row r="57" spans="1:6" ht="15.75" thickBot="1" x14ac:dyDescent="0.3">
      <c r="A57" s="142">
        <v>44554</v>
      </c>
      <c r="B57" s="155"/>
      <c r="C57" s="144"/>
      <c r="D57" s="141"/>
      <c r="E57" s="141"/>
      <c r="F57" s="60">
        <f t="shared" si="0"/>
        <v>5468031</v>
      </c>
    </row>
    <row r="58" spans="1:6" ht="15.75" thickBot="1" x14ac:dyDescent="0.3">
      <c r="A58" s="142">
        <v>44554</v>
      </c>
      <c r="B58" s="155"/>
      <c r="C58" s="144"/>
      <c r="D58" s="141"/>
      <c r="E58" s="141"/>
      <c r="F58" s="60">
        <f t="shared" si="0"/>
        <v>5468031</v>
      </c>
    </row>
    <row r="59" spans="1:6" ht="15.75" thickBot="1" x14ac:dyDescent="0.3">
      <c r="A59" s="142">
        <v>44554</v>
      </c>
      <c r="B59" s="155"/>
      <c r="C59" s="144"/>
      <c r="D59" s="141"/>
      <c r="E59" s="141"/>
      <c r="F59" s="60">
        <f t="shared" si="0"/>
        <v>5468031</v>
      </c>
    </row>
    <row r="60" spans="1:6" ht="15.75" thickBot="1" x14ac:dyDescent="0.3">
      <c r="A60" s="142">
        <v>44554</v>
      </c>
      <c r="B60" s="155"/>
      <c r="C60" s="144"/>
      <c r="D60" s="141"/>
      <c r="E60" s="141"/>
      <c r="F60" s="60">
        <f t="shared" si="0"/>
        <v>5468031</v>
      </c>
    </row>
    <row r="61" spans="1:6" ht="15.75" thickBot="1" x14ac:dyDescent="0.3">
      <c r="A61" s="142">
        <v>44554</v>
      </c>
      <c r="B61" s="155"/>
      <c r="C61" s="144"/>
      <c r="D61" s="141"/>
      <c r="E61" s="141"/>
      <c r="F61" s="60">
        <f t="shared" si="0"/>
        <v>5468031</v>
      </c>
    </row>
    <row r="62" spans="1:6" ht="15.75" thickBot="1" x14ac:dyDescent="0.3">
      <c r="A62" s="142">
        <v>44554</v>
      </c>
      <c r="B62" s="155"/>
      <c r="C62" s="144"/>
      <c r="D62" s="141"/>
      <c r="E62" s="141"/>
      <c r="F62" s="60">
        <f t="shared" si="0"/>
        <v>5468031</v>
      </c>
    </row>
    <row r="63" spans="1:6" ht="15.75" thickBot="1" x14ac:dyDescent="0.3">
      <c r="A63" s="142">
        <v>44554</v>
      </c>
      <c r="B63" s="155"/>
      <c r="C63" s="144"/>
      <c r="D63" s="141"/>
      <c r="E63" s="141"/>
      <c r="F63" s="60">
        <f t="shared" si="0"/>
        <v>5468031</v>
      </c>
    </row>
    <row r="64" spans="1:6" ht="15.75" thickBot="1" x14ac:dyDescent="0.3">
      <c r="A64" s="142">
        <v>44554</v>
      </c>
      <c r="B64" s="155"/>
      <c r="C64" s="144"/>
      <c r="D64" s="141"/>
      <c r="E64" s="141"/>
      <c r="F64" s="60">
        <f t="shared" si="0"/>
        <v>5468031</v>
      </c>
    </row>
    <row r="65" spans="1:6" ht="15.75" thickBot="1" x14ac:dyDescent="0.3">
      <c r="A65" s="142">
        <v>44554</v>
      </c>
      <c r="B65" s="155"/>
      <c r="C65" s="144"/>
      <c r="D65" s="141"/>
      <c r="E65" s="141"/>
      <c r="F65" s="60">
        <f t="shared" si="0"/>
        <v>5468031</v>
      </c>
    </row>
    <row r="66" spans="1:6" ht="15.75" thickBot="1" x14ac:dyDescent="0.3">
      <c r="A66" s="142">
        <v>44554</v>
      </c>
      <c r="B66" s="155"/>
      <c r="C66" s="144"/>
      <c r="D66" s="141"/>
      <c r="E66" s="141"/>
      <c r="F66" s="60">
        <f t="shared" si="0"/>
        <v>5468031</v>
      </c>
    </row>
    <row r="67" spans="1:6" ht="15.75" thickBot="1" x14ac:dyDescent="0.3">
      <c r="A67" s="142">
        <v>44554</v>
      </c>
      <c r="B67" s="155"/>
      <c r="C67" s="144"/>
      <c r="D67" s="141"/>
      <c r="E67" s="141"/>
      <c r="F67" s="60">
        <f t="shared" si="0"/>
        <v>5468031</v>
      </c>
    </row>
    <row r="68" spans="1:6" ht="15.75" thickBot="1" x14ac:dyDescent="0.3">
      <c r="A68" s="142">
        <v>44554</v>
      </c>
      <c r="B68" s="155"/>
      <c r="C68" s="144"/>
      <c r="D68" s="141"/>
      <c r="E68" s="141"/>
      <c r="F68" s="60">
        <f t="shared" si="0"/>
        <v>5468031</v>
      </c>
    </row>
    <row r="69" spans="1:6" ht="15.75" thickBot="1" x14ac:dyDescent="0.3">
      <c r="A69" s="142">
        <v>44554</v>
      </c>
      <c r="B69" s="155"/>
      <c r="C69" s="144"/>
      <c r="D69" s="141"/>
      <c r="E69" s="141"/>
      <c r="F69" s="60">
        <f t="shared" si="0"/>
        <v>5468031</v>
      </c>
    </row>
    <row r="70" spans="1:6" ht="15.75" thickBot="1" x14ac:dyDescent="0.3">
      <c r="A70" s="142">
        <v>44554</v>
      </c>
      <c r="B70" s="155"/>
      <c r="C70" s="144"/>
      <c r="D70" s="141"/>
      <c r="E70" s="141"/>
      <c r="F70" s="60">
        <f t="shared" si="0"/>
        <v>5468031</v>
      </c>
    </row>
    <row r="71" spans="1:6" ht="15.75" thickBot="1" x14ac:dyDescent="0.3">
      <c r="A71" s="142">
        <v>44557</v>
      </c>
      <c r="B71" s="155"/>
      <c r="C71" s="144"/>
      <c r="D71" s="141"/>
      <c r="E71" s="141"/>
      <c r="F71" s="60">
        <f t="shared" si="0"/>
        <v>5468031</v>
      </c>
    </row>
    <row r="72" spans="1:6" ht="15.75" thickBot="1" x14ac:dyDescent="0.3">
      <c r="A72" s="142">
        <v>44557</v>
      </c>
      <c r="B72" s="155"/>
      <c r="C72" s="144"/>
      <c r="D72" s="141"/>
      <c r="E72" s="141"/>
      <c r="F72" s="60">
        <f t="shared" si="0"/>
        <v>5468031</v>
      </c>
    </row>
    <row r="73" spans="1:6" ht="15.75" thickBot="1" x14ac:dyDescent="0.3">
      <c r="A73" s="142">
        <v>44557</v>
      </c>
      <c r="B73" s="155"/>
      <c r="C73" s="144"/>
      <c r="D73" s="141"/>
      <c r="E73" s="141"/>
      <c r="F73" s="60">
        <f t="shared" si="0"/>
        <v>5468031</v>
      </c>
    </row>
    <row r="74" spans="1:6" ht="15.75" thickBot="1" x14ac:dyDescent="0.3">
      <c r="A74" s="142">
        <v>44557</v>
      </c>
      <c r="B74" s="155"/>
      <c r="C74" s="144"/>
      <c r="D74" s="141"/>
      <c r="E74" s="141"/>
      <c r="F74" s="60">
        <f t="shared" ref="F74:F75" si="2">F73+D74-E74</f>
        <v>5468031</v>
      </c>
    </row>
    <row r="75" spans="1:6" ht="15.75" thickBot="1" x14ac:dyDescent="0.3">
      <c r="A75" s="142">
        <v>44557</v>
      </c>
      <c r="B75" s="155"/>
      <c r="C75" s="144"/>
      <c r="D75" s="141"/>
      <c r="E75" s="141"/>
      <c r="F75" s="60">
        <f t="shared" si="2"/>
        <v>5468031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June 21</vt:lpstr>
      <vt:lpstr>July 21</vt:lpstr>
      <vt:lpstr>Aug 2021</vt:lpstr>
      <vt:lpstr>Sep 2021</vt:lpstr>
      <vt:lpstr>OCT 2021</vt:lpstr>
      <vt:lpstr>Nov 2021</vt:lpstr>
      <vt:lpstr>Dec 2021</vt:lpstr>
      <vt:lpstr>'June 21'!Print_Area</vt:lpstr>
      <vt:lpstr>'June 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Nazeer Malik</dc:creator>
  <cp:lastModifiedBy>faizan nazir</cp:lastModifiedBy>
  <cp:lastPrinted>2021-12-11T17:43:18Z</cp:lastPrinted>
  <dcterms:created xsi:type="dcterms:W3CDTF">2021-07-04T17:53:48Z</dcterms:created>
  <dcterms:modified xsi:type="dcterms:W3CDTF">2022-01-14T12:30:04Z</dcterms:modified>
</cp:coreProperties>
</file>